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gfanghe/MyDirectory/"/>
    </mc:Choice>
  </mc:AlternateContent>
  <xr:revisionPtr revIDLastSave="0" documentId="13_ncr:1_{DF8485F3-2DE9-114F-A441-5CCF5AA2CCF6}" xr6:coauthVersionLast="47" xr6:coauthVersionMax="47" xr10:uidLastSave="{00000000-0000-0000-0000-000000000000}"/>
  <bookViews>
    <workbookView xWindow="2660" yWindow="820" windowWidth="27580" windowHeight="17420" firstSheet="1" activeTab="6" xr2:uid="{C6E3BC49-5BE1-514B-821C-202A293E71C7}"/>
  </bookViews>
  <sheets>
    <sheet name="BasicTable" sheetId="2" r:id="rId1"/>
    <sheet name="Q1" sheetId="1" r:id="rId2"/>
    <sheet name="Q2" sheetId="3" r:id="rId3"/>
    <sheet name="Q2 (2)" sheetId="5" r:id="rId4"/>
    <sheet name="Q2 (3)" sheetId="6" r:id="rId5"/>
    <sheet name="Q2 (4)" sheetId="7" r:id="rId6"/>
    <sheet name="Q2 (5)" sheetId="8" r:id="rId7"/>
    <sheet name="Q2 (6)" sheetId="9" r:id="rId8"/>
    <sheet name="Q2 (8)" sheetId="11" r:id="rId9"/>
    <sheet name="Q2 (7)" sheetId="10" r:id="rId10"/>
    <sheet name="Q1 (2)" sheetId="12" r:id="rId11"/>
    <sheet name="Q1 (3)" sheetId="13" r:id="rId12"/>
  </sheets>
  <definedNames>
    <definedName name="_xlnm._FilterDatabase" localSheetId="0" hidden="1">BasicTable!$A$2:$H$14</definedName>
    <definedName name="_xlnm._FilterDatabase" localSheetId="10" hidden="1">'Q1 (2)'!$A$2:$J$14</definedName>
    <definedName name="_xlnm._FilterDatabase" localSheetId="2" hidden="1">'Q2'!$B$2:$E$2</definedName>
    <definedName name="_xlnm._FilterDatabase" localSheetId="3" hidden="1">'Q2 (2)'!$A$2:$J$14</definedName>
    <definedName name="_xlnm._FilterDatabase" localSheetId="4" hidden="1">'Q2 (3)'!$A$2:$J$14</definedName>
    <definedName name="_xlnm._FilterDatabase" localSheetId="5" hidden="1">'Q2 (4)'!$A$2:$J$14</definedName>
    <definedName name="_xlnm._FilterDatabase" localSheetId="6" hidden="1">'Q2 (5)'!$A$2:$P$14</definedName>
    <definedName name="_xlnm._FilterDatabase" localSheetId="7" hidden="1">'Q2 (6)'!$A$2:$J$14</definedName>
    <definedName name="_xlnm._FilterDatabase" localSheetId="9" hidden="1">'Q2 (7)'!$A$2:$J$14</definedName>
    <definedName name="_xlnm._FilterDatabase" localSheetId="8" hidden="1">'Q2 (8)'!$A$2:$L$14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4" i="13" l="1"/>
  <c r="G14" i="13"/>
  <c r="J14" i="13" s="1"/>
  <c r="I13" i="13"/>
  <c r="G13" i="13"/>
  <c r="J13" i="13" s="1"/>
  <c r="I12" i="13"/>
  <c r="G12" i="13"/>
  <c r="J12" i="13" s="1"/>
  <c r="I11" i="13"/>
  <c r="G11" i="13"/>
  <c r="I10" i="13"/>
  <c r="G10" i="13"/>
  <c r="I9" i="13"/>
  <c r="G9" i="13"/>
  <c r="J9" i="13" s="1"/>
  <c r="I8" i="13"/>
  <c r="G8" i="13"/>
  <c r="I7" i="13"/>
  <c r="G7" i="13"/>
  <c r="J7" i="13" s="1"/>
  <c r="I6" i="13"/>
  <c r="G6" i="13"/>
  <c r="J6" i="13" s="1"/>
  <c r="I5" i="13"/>
  <c r="G5" i="13"/>
  <c r="J5" i="13" s="1"/>
  <c r="I4" i="13"/>
  <c r="G4" i="13"/>
  <c r="I3" i="13"/>
  <c r="G3" i="13"/>
  <c r="J3" i="13" s="1"/>
  <c r="I14" i="12"/>
  <c r="G14" i="12"/>
  <c r="J14" i="12" s="1"/>
  <c r="I13" i="12"/>
  <c r="G13" i="12"/>
  <c r="I12" i="12"/>
  <c r="G12" i="12"/>
  <c r="J12" i="12" s="1"/>
  <c r="I11" i="12"/>
  <c r="G11" i="12"/>
  <c r="J11" i="12" s="1"/>
  <c r="I10" i="12"/>
  <c r="G10" i="12"/>
  <c r="J10" i="12" s="1"/>
  <c r="I9" i="12"/>
  <c r="G9" i="12"/>
  <c r="I8" i="12"/>
  <c r="G8" i="12"/>
  <c r="I7" i="12"/>
  <c r="G7" i="12"/>
  <c r="J7" i="12" s="1"/>
  <c r="I6" i="12"/>
  <c r="G6" i="12"/>
  <c r="J6" i="12" s="1"/>
  <c r="I5" i="12"/>
  <c r="G5" i="12"/>
  <c r="I4" i="12"/>
  <c r="G4" i="12"/>
  <c r="J4" i="12" s="1"/>
  <c r="I3" i="12"/>
  <c r="G3" i="12"/>
  <c r="J3" i="12" s="1"/>
  <c r="H22" i="11"/>
  <c r="J14" i="11"/>
  <c r="G14" i="11"/>
  <c r="K14" i="11" s="1"/>
  <c r="J13" i="11"/>
  <c r="G13" i="11"/>
  <c r="J12" i="11"/>
  <c r="G12" i="11"/>
  <c r="J11" i="11"/>
  <c r="G11" i="11"/>
  <c r="J10" i="11"/>
  <c r="G10" i="11"/>
  <c r="K10" i="11" s="1"/>
  <c r="J9" i="11"/>
  <c r="G9" i="11"/>
  <c r="J8" i="11"/>
  <c r="G8" i="11"/>
  <c r="K8" i="11" s="1"/>
  <c r="J7" i="11"/>
  <c r="G7" i="11"/>
  <c r="J6" i="11"/>
  <c r="G6" i="11"/>
  <c r="K6" i="11" s="1"/>
  <c r="J5" i="11"/>
  <c r="G5" i="11"/>
  <c r="J4" i="11"/>
  <c r="G4" i="11"/>
  <c r="J3" i="11"/>
  <c r="G3" i="11"/>
  <c r="K19" i="10"/>
  <c r="I14" i="10"/>
  <c r="G14" i="10"/>
  <c r="I13" i="10"/>
  <c r="G13" i="10"/>
  <c r="I12" i="10"/>
  <c r="G12" i="10"/>
  <c r="J12" i="10" s="1"/>
  <c r="I11" i="10"/>
  <c r="G11" i="10"/>
  <c r="I10" i="10"/>
  <c r="G10" i="10"/>
  <c r="I9" i="10"/>
  <c r="G9" i="10"/>
  <c r="I8" i="10"/>
  <c r="G8" i="10"/>
  <c r="I7" i="10"/>
  <c r="G7" i="10"/>
  <c r="I6" i="10"/>
  <c r="G6" i="10"/>
  <c r="I5" i="10"/>
  <c r="G5" i="10"/>
  <c r="J5" i="10" s="1"/>
  <c r="I4" i="10"/>
  <c r="G4" i="10"/>
  <c r="I3" i="10"/>
  <c r="G3" i="10"/>
  <c r="F20" i="9"/>
  <c r="J33" i="9"/>
  <c r="G33" i="9"/>
  <c r="J28" i="9"/>
  <c r="F19" i="9" s="1"/>
  <c r="G28" i="9"/>
  <c r="J6" i="10" l="1"/>
  <c r="J10" i="10"/>
  <c r="J14" i="10"/>
  <c r="J5" i="12"/>
  <c r="J13" i="12"/>
  <c r="J8" i="13"/>
  <c r="J10" i="13"/>
  <c r="K5" i="11"/>
  <c r="K9" i="11"/>
  <c r="J4" i="13"/>
  <c r="J11" i="13"/>
  <c r="J8" i="12"/>
  <c r="J9" i="12"/>
  <c r="J16" i="12" s="1"/>
  <c r="K4" i="11"/>
  <c r="K12" i="11"/>
  <c r="K13" i="11"/>
  <c r="K3" i="11"/>
  <c r="K7" i="11"/>
  <c r="K11" i="11"/>
  <c r="J3" i="10"/>
  <c r="J7" i="10"/>
  <c r="J11" i="10"/>
  <c r="J9" i="10"/>
  <c r="J13" i="10"/>
  <c r="J8" i="10"/>
  <c r="J4" i="10"/>
  <c r="I14" i="9" l="1"/>
  <c r="G14" i="9"/>
  <c r="I13" i="9"/>
  <c r="G13" i="9"/>
  <c r="I12" i="9"/>
  <c r="G12" i="9"/>
  <c r="I11" i="9"/>
  <c r="G11" i="9"/>
  <c r="I10" i="9"/>
  <c r="G10" i="9"/>
  <c r="I9" i="9"/>
  <c r="G9" i="9"/>
  <c r="I8" i="9"/>
  <c r="G8" i="9"/>
  <c r="I7" i="9"/>
  <c r="G7" i="9"/>
  <c r="I6" i="9"/>
  <c r="G6" i="9"/>
  <c r="I5" i="9"/>
  <c r="G5" i="9"/>
  <c r="I4" i="9"/>
  <c r="G4" i="9"/>
  <c r="I3" i="9"/>
  <c r="G3" i="9"/>
  <c r="K30" i="8"/>
  <c r="M3" i="8"/>
  <c r="M4" i="8"/>
  <c r="M5" i="8"/>
  <c r="M6" i="8"/>
  <c r="M7" i="8"/>
  <c r="M8" i="8"/>
  <c r="M9" i="8"/>
  <c r="M10" i="8"/>
  <c r="M11" i="8"/>
  <c r="M12" i="8"/>
  <c r="M13" i="8"/>
  <c r="M14" i="8"/>
  <c r="K14" i="8"/>
  <c r="G14" i="8"/>
  <c r="K13" i="8"/>
  <c r="G13" i="8"/>
  <c r="K12" i="8"/>
  <c r="G12" i="8"/>
  <c r="N12" i="8" s="1"/>
  <c r="K11" i="8"/>
  <c r="G11" i="8"/>
  <c r="K10" i="8"/>
  <c r="G10" i="8"/>
  <c r="K9" i="8"/>
  <c r="G9" i="8"/>
  <c r="N9" i="8" s="1"/>
  <c r="K8" i="8"/>
  <c r="G8" i="8"/>
  <c r="N8" i="8" s="1"/>
  <c r="K7" i="8"/>
  <c r="G7" i="8"/>
  <c r="N7" i="8" s="1"/>
  <c r="K6" i="8"/>
  <c r="G6" i="8"/>
  <c r="N6" i="8" s="1"/>
  <c r="K5" i="8"/>
  <c r="G5" i="8"/>
  <c r="N5" i="8" s="1"/>
  <c r="K4" i="8"/>
  <c r="G4" i="8"/>
  <c r="N4" i="8" s="1"/>
  <c r="K3" i="8"/>
  <c r="G3" i="8"/>
  <c r="L4" i="7"/>
  <c r="L5" i="7"/>
  <c r="L6" i="7"/>
  <c r="L7" i="7"/>
  <c r="L8" i="7"/>
  <c r="L9" i="7"/>
  <c r="L10" i="7"/>
  <c r="L11" i="7"/>
  <c r="L12" i="7"/>
  <c r="L13" i="7"/>
  <c r="L14" i="7"/>
  <c r="L3" i="7"/>
  <c r="K4" i="7"/>
  <c r="M4" i="7" s="1"/>
  <c r="K5" i="7"/>
  <c r="M5" i="7" s="1"/>
  <c r="K6" i="7"/>
  <c r="M6" i="7" s="1"/>
  <c r="K7" i="7"/>
  <c r="M7" i="7" s="1"/>
  <c r="K8" i="7"/>
  <c r="M8" i="7" s="1"/>
  <c r="K9" i="7"/>
  <c r="M9" i="7" s="1"/>
  <c r="K10" i="7"/>
  <c r="M10" i="7" s="1"/>
  <c r="K11" i="7"/>
  <c r="M11" i="7" s="1"/>
  <c r="K12" i="7"/>
  <c r="M12" i="7" s="1"/>
  <c r="K13" i="7"/>
  <c r="M13" i="7" s="1"/>
  <c r="K14" i="7"/>
  <c r="M14" i="7" s="1"/>
  <c r="K3" i="7"/>
  <c r="M3" i="7" s="1"/>
  <c r="I14" i="7"/>
  <c r="G14" i="7"/>
  <c r="I13" i="7"/>
  <c r="G13" i="7"/>
  <c r="J13" i="7" s="1"/>
  <c r="I12" i="7"/>
  <c r="G12" i="7"/>
  <c r="I11" i="7"/>
  <c r="G11" i="7"/>
  <c r="I10" i="7"/>
  <c r="G10" i="7"/>
  <c r="I9" i="7"/>
  <c r="G9" i="7"/>
  <c r="J9" i="7" s="1"/>
  <c r="I8" i="7"/>
  <c r="G8" i="7"/>
  <c r="J8" i="7" s="1"/>
  <c r="I7" i="7"/>
  <c r="G7" i="7"/>
  <c r="I6" i="7"/>
  <c r="G6" i="7"/>
  <c r="I5" i="7"/>
  <c r="G5" i="7"/>
  <c r="I4" i="7"/>
  <c r="G4" i="7"/>
  <c r="J4" i="7" s="1"/>
  <c r="I3" i="7"/>
  <c r="G3" i="7"/>
  <c r="I14" i="6"/>
  <c r="G14" i="6"/>
  <c r="I13" i="6"/>
  <c r="G13" i="6"/>
  <c r="J13" i="6" s="1"/>
  <c r="I12" i="6"/>
  <c r="G12" i="6"/>
  <c r="I11" i="6"/>
  <c r="G11" i="6"/>
  <c r="I10" i="6"/>
  <c r="G10" i="6"/>
  <c r="I9" i="6"/>
  <c r="G9" i="6"/>
  <c r="J9" i="6" s="1"/>
  <c r="I8" i="6"/>
  <c r="G8" i="6"/>
  <c r="I7" i="6"/>
  <c r="G7" i="6"/>
  <c r="I6" i="6"/>
  <c r="G6" i="6"/>
  <c r="I5" i="6"/>
  <c r="G5" i="6"/>
  <c r="J5" i="6" s="1"/>
  <c r="I4" i="6"/>
  <c r="G4" i="6"/>
  <c r="I3" i="6"/>
  <c r="G3" i="6"/>
  <c r="I14" i="5"/>
  <c r="G14" i="5"/>
  <c r="I13" i="5"/>
  <c r="G13" i="5"/>
  <c r="I12" i="5"/>
  <c r="G12" i="5"/>
  <c r="I11" i="5"/>
  <c r="G11" i="5"/>
  <c r="I10" i="5"/>
  <c r="G10" i="5"/>
  <c r="I9" i="5"/>
  <c r="G9" i="5"/>
  <c r="I8" i="5"/>
  <c r="G8" i="5"/>
  <c r="I7" i="5"/>
  <c r="G7" i="5"/>
  <c r="I6" i="5"/>
  <c r="G6" i="5"/>
  <c r="I5" i="5"/>
  <c r="G5" i="5"/>
  <c r="I4" i="5"/>
  <c r="G4" i="5"/>
  <c r="I3" i="5"/>
  <c r="G3" i="5"/>
  <c r="I14" i="3"/>
  <c r="G14" i="3"/>
  <c r="I13" i="3"/>
  <c r="G13" i="3"/>
  <c r="J13" i="3" s="1"/>
  <c r="I12" i="3"/>
  <c r="G12" i="3"/>
  <c r="I11" i="3"/>
  <c r="G11" i="3"/>
  <c r="I10" i="3"/>
  <c r="G10" i="3"/>
  <c r="I9" i="3"/>
  <c r="G9" i="3"/>
  <c r="J9" i="3" s="1"/>
  <c r="I8" i="3"/>
  <c r="G8" i="3"/>
  <c r="I7" i="3"/>
  <c r="G7" i="3"/>
  <c r="J7" i="3" s="1"/>
  <c r="I6" i="3"/>
  <c r="G6" i="3"/>
  <c r="J6" i="3" s="1"/>
  <c r="I5" i="3"/>
  <c r="G5" i="3"/>
  <c r="J5" i="3" s="1"/>
  <c r="I4" i="3"/>
  <c r="J4" i="3" s="1"/>
  <c r="G4" i="3"/>
  <c r="I3" i="3"/>
  <c r="G3" i="3"/>
  <c r="J3" i="3" s="1"/>
  <c r="J6" i="1"/>
  <c r="J7" i="1"/>
  <c r="J8" i="1"/>
  <c r="J9" i="1"/>
  <c r="J14" i="1"/>
  <c r="J3" i="1"/>
  <c r="I4" i="1"/>
  <c r="I5" i="1"/>
  <c r="I6" i="1"/>
  <c r="I7" i="1"/>
  <c r="I8" i="1"/>
  <c r="I9" i="1"/>
  <c r="I10" i="1"/>
  <c r="I11" i="1"/>
  <c r="I12" i="1"/>
  <c r="I13" i="1"/>
  <c r="I14" i="1"/>
  <c r="I3" i="1"/>
  <c r="H4" i="2"/>
  <c r="H5" i="2"/>
  <c r="H6" i="2"/>
  <c r="H7" i="2"/>
  <c r="H8" i="2"/>
  <c r="H9" i="2"/>
  <c r="H10" i="2"/>
  <c r="H11" i="2"/>
  <c r="H12" i="2"/>
  <c r="D24" i="2" s="1"/>
  <c r="H13" i="2"/>
  <c r="H14" i="2"/>
  <c r="H3" i="2"/>
  <c r="G4" i="1"/>
  <c r="J4" i="1" s="1"/>
  <c r="G5" i="1"/>
  <c r="J5" i="1" s="1"/>
  <c r="G6" i="1"/>
  <c r="G7" i="1"/>
  <c r="G8" i="1"/>
  <c r="G9" i="1"/>
  <c r="G10" i="1"/>
  <c r="J10" i="1" s="1"/>
  <c r="G11" i="1"/>
  <c r="J11" i="1" s="1"/>
  <c r="G12" i="1"/>
  <c r="J12" i="1" s="1"/>
  <c r="G13" i="1"/>
  <c r="J13" i="1" s="1"/>
  <c r="G14" i="1"/>
  <c r="G3" i="1"/>
  <c r="J8" i="3" l="1"/>
  <c r="J12" i="3"/>
  <c r="J10" i="3"/>
  <c r="J14" i="3"/>
  <c r="J6" i="6"/>
  <c r="J10" i="6"/>
  <c r="J14" i="6"/>
  <c r="I4" i="8"/>
  <c r="I3" i="8"/>
  <c r="J11" i="3"/>
  <c r="J7" i="7"/>
  <c r="J11" i="7"/>
  <c r="J7" i="9"/>
  <c r="J11" i="9"/>
  <c r="J8" i="9"/>
  <c r="J12" i="9"/>
  <c r="J3" i="9"/>
  <c r="J4" i="9"/>
  <c r="J6" i="9"/>
  <c r="J14" i="9"/>
  <c r="J9" i="9"/>
  <c r="J10" i="9"/>
  <c r="J5" i="9"/>
  <c r="J13" i="9"/>
  <c r="L3" i="8"/>
  <c r="L11" i="8"/>
  <c r="O6" i="8"/>
  <c r="L10" i="8"/>
  <c r="L14" i="8"/>
  <c r="L13" i="8"/>
  <c r="O5" i="8"/>
  <c r="O12" i="8"/>
  <c r="O9" i="8"/>
  <c r="O4" i="8"/>
  <c r="O8" i="8"/>
  <c r="O7" i="8"/>
  <c r="N13" i="8"/>
  <c r="O13" i="8" s="1"/>
  <c r="N11" i="8"/>
  <c r="O11" i="8" s="1"/>
  <c r="N10" i="8"/>
  <c r="O10" i="8" s="1"/>
  <c r="L8" i="8"/>
  <c r="L12" i="8"/>
  <c r="N3" i="8"/>
  <c r="O3" i="8" s="1"/>
  <c r="L5" i="8"/>
  <c r="L9" i="8"/>
  <c r="N14" i="8"/>
  <c r="O14" i="8" s="1"/>
  <c r="J4" i="5"/>
  <c r="J3" i="5"/>
  <c r="J7" i="5"/>
  <c r="J12" i="5"/>
  <c r="D21" i="5" s="1"/>
  <c r="J9" i="5"/>
  <c r="J6" i="5"/>
  <c r="J14" i="5"/>
  <c r="J5" i="5"/>
  <c r="J11" i="5"/>
  <c r="J10" i="5"/>
  <c r="J8" i="5"/>
  <c r="D18" i="5" s="1"/>
  <c r="J13" i="5"/>
  <c r="D22" i="2"/>
  <c r="D23" i="2"/>
  <c r="D21" i="2"/>
  <c r="L6" i="8"/>
  <c r="L7" i="8"/>
  <c r="L4" i="8"/>
  <c r="J6" i="7"/>
  <c r="O4" i="7" s="1"/>
  <c r="J3" i="7"/>
  <c r="J10" i="7"/>
  <c r="J14" i="7"/>
  <c r="J5" i="7"/>
  <c r="J12" i="7"/>
  <c r="O3" i="7"/>
  <c r="J4" i="6"/>
  <c r="J11" i="6"/>
  <c r="J8" i="6"/>
  <c r="J12" i="6"/>
  <c r="J3" i="6"/>
  <c r="J7" i="6"/>
  <c r="D20" i="5" l="1"/>
  <c r="M3" i="6"/>
  <c r="D19" i="5"/>
  <c r="M4" i="6"/>
</calcChain>
</file>

<file path=xl/sharedStrings.xml><?xml version="1.0" encoding="utf-8"?>
<sst xmlns="http://schemas.openxmlformats.org/spreadsheetml/2006/main" count="884" uniqueCount="48">
  <si>
    <t xml:space="preserve">OrderDate </t>
  </si>
  <si>
    <t xml:space="preserve">Region </t>
  </si>
  <si>
    <t>City</t>
  </si>
  <si>
    <t>Category</t>
  </si>
  <si>
    <t>Product</t>
  </si>
  <si>
    <t>Quantity</t>
  </si>
  <si>
    <t>UnitPrice</t>
  </si>
  <si>
    <t>TotalPrice</t>
  </si>
  <si>
    <t>East</t>
  </si>
  <si>
    <t>West</t>
  </si>
  <si>
    <t>Boston</t>
  </si>
  <si>
    <t>Los Angels</t>
  </si>
  <si>
    <t>New York</t>
  </si>
  <si>
    <t>Bars</t>
  </si>
  <si>
    <t>Crackers</t>
  </si>
  <si>
    <t>Cookies</t>
  </si>
  <si>
    <t>Snacks</t>
  </si>
  <si>
    <t>Carrot</t>
  </si>
  <si>
    <t>Whole Wheat</t>
  </si>
  <si>
    <t>Chocolate Chip</t>
  </si>
  <si>
    <t>Arrowroot</t>
  </si>
  <si>
    <t>Potato Chips</t>
  </si>
  <si>
    <t>Quantity(int)</t>
  </si>
  <si>
    <t>UnitPrice(float)</t>
  </si>
  <si>
    <t>TotalPrice(float)</t>
  </si>
  <si>
    <t>TotalPriceforBoston</t>
  </si>
  <si>
    <t>TotalPriceforNewYork</t>
  </si>
  <si>
    <t>WestCarrot</t>
  </si>
  <si>
    <t>city</t>
  </si>
  <si>
    <t>quantity&gt;20</t>
  </si>
  <si>
    <t>totalprice</t>
  </si>
  <si>
    <t>category</t>
  </si>
  <si>
    <t>Item</t>
  </si>
  <si>
    <t>Q2-2</t>
  </si>
  <si>
    <t>Q2-1</t>
  </si>
  <si>
    <t>Q2-3</t>
  </si>
  <si>
    <t>Q2-4</t>
  </si>
  <si>
    <t>Q2-5</t>
  </si>
  <si>
    <t>Q2-6</t>
  </si>
  <si>
    <t>totalforVe</t>
  </si>
  <si>
    <t>Q2-7</t>
  </si>
  <si>
    <t>Min</t>
  </si>
  <si>
    <t>Max</t>
  </si>
  <si>
    <t>Q2-11</t>
  </si>
  <si>
    <t>Average price</t>
  </si>
  <si>
    <t>Q2-13</t>
  </si>
  <si>
    <t>Q2-10</t>
  </si>
  <si>
    <t>Q2-9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</si>
</sst>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right"/>
    </xf>
    <xf numFmtId="0" fontId="0" fillId="2" borderId="0" xfId="0" applyFill="1"/>
    <xf numFmtId="0" fontId="4" fillId="2" borderId="0" xfId="0" applyFont="1" applyFill="1" applyAlignment="1">
      <alignment horizontal="center"/>
    </xf>
    <xf numFmtId="2" fontId="0" fillId="2" borderId="0" xfId="0" applyNumberFormat="1" applyFill="1"/>
    <xf numFmtId="49" fontId="0" fillId="0" borderId="1" xfId="0" applyNumberFormat="1" applyBorder="1"/>
    <xf numFmtId="2" fontId="0" fillId="0" borderId="1" xfId="0" applyNumberFormat="1" applyBorder="1"/>
    <xf numFmtId="0" fontId="1" fillId="2" borderId="1" xfId="0" applyFont="1" applyFill="1" applyBorder="1"/>
    <xf numFmtId="49" fontId="2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BEEF-D3B7-6348-9772-35E17CFA1687}">
  <sheetPr filterMode="1"/>
  <dimension ref="A2:M30"/>
  <sheetViews>
    <sheetView topLeftCell="B8" zoomScale="130" zoomScaleNormal="130" workbookViewId="0">
      <selection activeCell="C20" sqref="C20:D24"/>
    </sheetView>
  </sheetViews>
  <sheetFormatPr baseColWidth="10" defaultRowHeight="16" x14ac:dyDescent="0.2"/>
  <cols>
    <col min="5" max="5" width="13.1640625" bestFit="1" customWidth="1"/>
  </cols>
  <sheetData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43831</v>
      </c>
      <c r="B3" s="2" t="s">
        <v>8</v>
      </c>
      <c r="C3" s="2" t="s">
        <v>10</v>
      </c>
      <c r="D3" s="2" t="s">
        <v>13</v>
      </c>
      <c r="E3" s="2" t="s">
        <v>17</v>
      </c>
      <c r="F3" s="3">
        <v>33</v>
      </c>
      <c r="G3" s="4">
        <v>1.77</v>
      </c>
      <c r="H3">
        <f>F3*G3</f>
        <v>58.410000000000004</v>
      </c>
    </row>
    <row r="4" spans="1:8" x14ac:dyDescent="0.2">
      <c r="A4" s="1">
        <v>43834</v>
      </c>
      <c r="B4" s="2" t="s">
        <v>8</v>
      </c>
      <c r="C4" s="2" t="s">
        <v>10</v>
      </c>
      <c r="D4" s="2" t="s">
        <v>14</v>
      </c>
      <c r="E4" s="2" t="s">
        <v>18</v>
      </c>
      <c r="F4" s="3">
        <v>87</v>
      </c>
      <c r="G4" s="4">
        <v>3.49</v>
      </c>
      <c r="H4">
        <f t="shared" ref="H4:H14" si="0">F4*G4</f>
        <v>303.63</v>
      </c>
    </row>
    <row r="5" spans="1:8" hidden="1" x14ac:dyDescent="0.2">
      <c r="A5" s="1">
        <v>43837</v>
      </c>
      <c r="B5" s="2" t="s">
        <v>9</v>
      </c>
      <c r="C5" s="2" t="s">
        <v>11</v>
      </c>
      <c r="D5" s="2" t="s">
        <v>15</v>
      </c>
      <c r="E5" s="2" t="s">
        <v>19</v>
      </c>
      <c r="F5" s="3">
        <v>58</v>
      </c>
      <c r="G5" s="4">
        <v>1.87</v>
      </c>
      <c r="H5">
        <f t="shared" si="0"/>
        <v>108.46000000000001</v>
      </c>
    </row>
    <row r="6" spans="1:8" x14ac:dyDescent="0.2">
      <c r="A6" s="1">
        <v>43840</v>
      </c>
      <c r="B6" s="2" t="s">
        <v>8</v>
      </c>
      <c r="C6" s="2" t="s">
        <v>12</v>
      </c>
      <c r="D6" s="2" t="s">
        <v>15</v>
      </c>
      <c r="E6" s="2" t="s">
        <v>19</v>
      </c>
      <c r="F6" s="3">
        <v>82</v>
      </c>
      <c r="G6" s="4">
        <v>1.87</v>
      </c>
      <c r="H6">
        <f t="shared" si="0"/>
        <v>153.34</v>
      </c>
    </row>
    <row r="7" spans="1:8" x14ac:dyDescent="0.2">
      <c r="A7" s="1">
        <v>43843</v>
      </c>
      <c r="B7" s="2" t="s">
        <v>8</v>
      </c>
      <c r="C7" s="2" t="s">
        <v>10</v>
      </c>
      <c r="D7" s="2" t="s">
        <v>15</v>
      </c>
      <c r="E7" s="2" t="s">
        <v>20</v>
      </c>
      <c r="F7" s="3">
        <v>38</v>
      </c>
      <c r="G7" s="4">
        <v>2.1800000000000002</v>
      </c>
      <c r="H7">
        <f t="shared" si="0"/>
        <v>82.84</v>
      </c>
    </row>
    <row r="8" spans="1:8" x14ac:dyDescent="0.2">
      <c r="A8" s="1">
        <v>43846</v>
      </c>
      <c r="B8" s="2" t="s">
        <v>8</v>
      </c>
      <c r="C8" s="2" t="s">
        <v>10</v>
      </c>
      <c r="D8" s="2" t="s">
        <v>13</v>
      </c>
      <c r="E8" s="2" t="s">
        <v>17</v>
      </c>
      <c r="F8" s="3">
        <v>54</v>
      </c>
      <c r="G8" s="4">
        <v>1.77</v>
      </c>
      <c r="H8">
        <f t="shared" si="0"/>
        <v>95.58</v>
      </c>
    </row>
    <row r="9" spans="1:8" x14ac:dyDescent="0.2">
      <c r="A9" s="1">
        <v>43849</v>
      </c>
      <c r="B9" s="2" t="s">
        <v>8</v>
      </c>
      <c r="C9" s="2" t="s">
        <v>10</v>
      </c>
      <c r="D9" s="2" t="s">
        <v>14</v>
      </c>
      <c r="E9" s="2" t="s">
        <v>18</v>
      </c>
      <c r="F9" s="3">
        <v>149</v>
      </c>
      <c r="G9" s="4">
        <v>3.49</v>
      </c>
      <c r="H9">
        <f t="shared" si="0"/>
        <v>520.01</v>
      </c>
    </row>
    <row r="10" spans="1:8" hidden="1" x14ac:dyDescent="0.2">
      <c r="A10" s="1">
        <v>43852</v>
      </c>
      <c r="B10" s="2" t="s">
        <v>9</v>
      </c>
      <c r="C10" s="2" t="s">
        <v>11</v>
      </c>
      <c r="D10" s="2" t="s">
        <v>13</v>
      </c>
      <c r="E10" s="2" t="s">
        <v>17</v>
      </c>
      <c r="F10" s="3">
        <v>51</v>
      </c>
      <c r="G10" s="4">
        <v>1.77</v>
      </c>
      <c r="H10">
        <f t="shared" si="0"/>
        <v>90.27</v>
      </c>
    </row>
    <row r="11" spans="1:8" x14ac:dyDescent="0.2">
      <c r="A11" s="1">
        <v>43855</v>
      </c>
      <c r="B11" s="2" t="s">
        <v>8</v>
      </c>
      <c r="C11" s="2" t="s">
        <v>12</v>
      </c>
      <c r="D11" s="2" t="s">
        <v>13</v>
      </c>
      <c r="E11" s="2" t="s">
        <v>17</v>
      </c>
      <c r="F11" s="3">
        <v>100</v>
      </c>
      <c r="G11" s="4">
        <v>1.77</v>
      </c>
      <c r="H11">
        <f t="shared" si="0"/>
        <v>177</v>
      </c>
    </row>
    <row r="12" spans="1:8" x14ac:dyDescent="0.2">
      <c r="A12" s="1">
        <v>43858</v>
      </c>
      <c r="B12" s="2" t="s">
        <v>8</v>
      </c>
      <c r="C12" s="2" t="s">
        <v>12</v>
      </c>
      <c r="D12" s="2" t="s">
        <v>16</v>
      </c>
      <c r="E12" s="2" t="s">
        <v>21</v>
      </c>
      <c r="F12" s="3">
        <v>28</v>
      </c>
      <c r="G12" s="4">
        <v>1.35</v>
      </c>
      <c r="H12">
        <f t="shared" si="0"/>
        <v>37.800000000000004</v>
      </c>
    </row>
    <row r="13" spans="1:8" x14ac:dyDescent="0.2">
      <c r="A13" s="1">
        <v>43861</v>
      </c>
      <c r="B13" s="2" t="s">
        <v>8</v>
      </c>
      <c r="C13" s="2" t="s">
        <v>10</v>
      </c>
      <c r="D13" s="2" t="s">
        <v>15</v>
      </c>
      <c r="E13" s="2" t="s">
        <v>20</v>
      </c>
      <c r="F13" s="3">
        <v>36</v>
      </c>
      <c r="G13" s="4">
        <v>2.1800000000000002</v>
      </c>
      <c r="H13">
        <f t="shared" si="0"/>
        <v>78.48</v>
      </c>
    </row>
    <row r="14" spans="1:8" x14ac:dyDescent="0.2">
      <c r="A14" s="1">
        <v>43864</v>
      </c>
      <c r="B14" s="2" t="s">
        <v>8</v>
      </c>
      <c r="C14" s="2" t="s">
        <v>10</v>
      </c>
      <c r="D14" s="2" t="s">
        <v>15</v>
      </c>
      <c r="E14" s="2" t="s">
        <v>19</v>
      </c>
      <c r="F14" s="3">
        <v>31</v>
      </c>
      <c r="G14" s="4">
        <v>1.87</v>
      </c>
      <c r="H14">
        <f t="shared" si="0"/>
        <v>57.970000000000006</v>
      </c>
    </row>
    <row r="20" spans="3:13" x14ac:dyDescent="0.2">
      <c r="C20" t="s">
        <v>31</v>
      </c>
      <c r="D20" t="s">
        <v>30</v>
      </c>
      <c r="F20" t="s">
        <v>0</v>
      </c>
      <c r="G20" t="s">
        <v>1</v>
      </c>
      <c r="H20" t="s">
        <v>2</v>
      </c>
      <c r="I20" t="s">
        <v>3</v>
      </c>
      <c r="J20" t="s">
        <v>4</v>
      </c>
      <c r="K20" t="s">
        <v>5</v>
      </c>
      <c r="L20" t="s">
        <v>6</v>
      </c>
      <c r="M20" t="s">
        <v>7</v>
      </c>
    </row>
    <row r="21" spans="3:13" x14ac:dyDescent="0.2">
      <c r="C21" s="2" t="s">
        <v>13</v>
      </c>
      <c r="D21">
        <f>H3+H8+H10+H11</f>
        <v>421.26</v>
      </c>
      <c r="F21" s="1">
        <v>43831</v>
      </c>
      <c r="G21" s="2" t="s">
        <v>8</v>
      </c>
      <c r="H21" s="2" t="s">
        <v>10</v>
      </c>
      <c r="I21" s="2" t="s">
        <v>13</v>
      </c>
      <c r="J21" s="2" t="s">
        <v>17</v>
      </c>
      <c r="K21" s="3">
        <v>33</v>
      </c>
      <c r="L21" s="4">
        <v>1.77</v>
      </c>
      <c r="M21">
        <v>58.410000000000004</v>
      </c>
    </row>
    <row r="22" spans="3:13" x14ac:dyDescent="0.2">
      <c r="C22" s="2" t="s">
        <v>14</v>
      </c>
      <c r="D22">
        <f>H4+H9</f>
        <v>823.64</v>
      </c>
      <c r="F22" s="1">
        <v>43834</v>
      </c>
      <c r="G22" s="2" t="s">
        <v>8</v>
      </c>
      <c r="H22" s="2" t="s">
        <v>10</v>
      </c>
      <c r="I22" s="2" t="s">
        <v>14</v>
      </c>
      <c r="J22" s="2" t="s">
        <v>18</v>
      </c>
      <c r="K22" s="3">
        <v>87</v>
      </c>
      <c r="L22" s="4">
        <v>3.49</v>
      </c>
      <c r="M22">
        <v>303.63</v>
      </c>
    </row>
    <row r="23" spans="3:13" x14ac:dyDescent="0.2">
      <c r="C23" s="2" t="s">
        <v>15</v>
      </c>
      <c r="D23">
        <f>H5+H6+H7+H13+H14</f>
        <v>481.09000000000003</v>
      </c>
      <c r="F23" s="1">
        <v>43840</v>
      </c>
      <c r="G23" s="2" t="s">
        <v>8</v>
      </c>
      <c r="H23" s="2" t="s">
        <v>12</v>
      </c>
      <c r="I23" s="2" t="s">
        <v>15</v>
      </c>
      <c r="J23" s="2" t="s">
        <v>19</v>
      </c>
      <c r="K23" s="3">
        <v>82</v>
      </c>
      <c r="L23" s="4">
        <v>1.87</v>
      </c>
      <c r="M23">
        <v>153.34</v>
      </c>
    </row>
    <row r="24" spans="3:13" x14ac:dyDescent="0.2">
      <c r="C24" s="2" t="s">
        <v>16</v>
      </c>
      <c r="D24">
        <f>H12</f>
        <v>37.800000000000004</v>
      </c>
      <c r="F24" s="1">
        <v>43843</v>
      </c>
      <c r="G24" s="2" t="s">
        <v>8</v>
      </c>
      <c r="H24" s="2" t="s">
        <v>10</v>
      </c>
      <c r="I24" s="2" t="s">
        <v>15</v>
      </c>
      <c r="J24" s="2" t="s">
        <v>20</v>
      </c>
      <c r="K24" s="3">
        <v>38</v>
      </c>
      <c r="L24" s="4">
        <v>2.1800000000000002</v>
      </c>
      <c r="M24">
        <v>82.84</v>
      </c>
    </row>
    <row r="25" spans="3:13" x14ac:dyDescent="0.2">
      <c r="F25" s="1">
        <v>43846</v>
      </c>
      <c r="G25" s="2" t="s">
        <v>8</v>
      </c>
      <c r="H25" s="2" t="s">
        <v>10</v>
      </c>
      <c r="I25" s="2" t="s">
        <v>13</v>
      </c>
      <c r="J25" s="2" t="s">
        <v>17</v>
      </c>
      <c r="K25" s="3">
        <v>54</v>
      </c>
      <c r="L25" s="4">
        <v>1.77</v>
      </c>
      <c r="M25">
        <v>95.58</v>
      </c>
    </row>
    <row r="26" spans="3:13" x14ac:dyDescent="0.2">
      <c r="F26" s="1">
        <v>43849</v>
      </c>
      <c r="G26" s="2" t="s">
        <v>8</v>
      </c>
      <c r="H26" s="2" t="s">
        <v>10</v>
      </c>
      <c r="I26" s="2" t="s">
        <v>14</v>
      </c>
      <c r="J26" s="2" t="s">
        <v>18</v>
      </c>
      <c r="K26" s="3">
        <v>149</v>
      </c>
      <c r="L26" s="4">
        <v>3.49</v>
      </c>
      <c r="M26">
        <v>520.01</v>
      </c>
    </row>
    <row r="27" spans="3:13" x14ac:dyDescent="0.2">
      <c r="F27" s="1">
        <v>43855</v>
      </c>
      <c r="G27" s="2" t="s">
        <v>8</v>
      </c>
      <c r="H27" s="2" t="s">
        <v>12</v>
      </c>
      <c r="I27" s="2" t="s">
        <v>13</v>
      </c>
      <c r="J27" s="2" t="s">
        <v>17</v>
      </c>
      <c r="K27" s="3">
        <v>100</v>
      </c>
      <c r="L27" s="4">
        <v>1.77</v>
      </c>
      <c r="M27">
        <v>177</v>
      </c>
    </row>
    <row r="28" spans="3:13" x14ac:dyDescent="0.2">
      <c r="F28" s="1">
        <v>43858</v>
      </c>
      <c r="G28" s="2" t="s">
        <v>8</v>
      </c>
      <c r="H28" s="2" t="s">
        <v>12</v>
      </c>
      <c r="I28" s="2" t="s">
        <v>16</v>
      </c>
      <c r="J28" s="2" t="s">
        <v>21</v>
      </c>
      <c r="K28" s="3">
        <v>28</v>
      </c>
      <c r="L28" s="4">
        <v>1.35</v>
      </c>
      <c r="M28">
        <v>37.800000000000004</v>
      </c>
    </row>
    <row r="29" spans="3:13" x14ac:dyDescent="0.2">
      <c r="F29" s="1">
        <v>43861</v>
      </c>
      <c r="G29" s="2" t="s">
        <v>8</v>
      </c>
      <c r="H29" s="2" t="s">
        <v>10</v>
      </c>
      <c r="I29" s="2" t="s">
        <v>15</v>
      </c>
      <c r="J29" s="2" t="s">
        <v>20</v>
      </c>
      <c r="K29" s="3">
        <v>36</v>
      </c>
      <c r="L29" s="4">
        <v>2.1800000000000002</v>
      </c>
      <c r="M29">
        <v>78.48</v>
      </c>
    </row>
    <row r="30" spans="3:13" x14ac:dyDescent="0.2">
      <c r="F30" s="1">
        <v>43864</v>
      </c>
      <c r="G30" s="2" t="s">
        <v>8</v>
      </c>
      <c r="H30" s="2" t="s">
        <v>10</v>
      </c>
      <c r="I30" s="2" t="s">
        <v>15</v>
      </c>
      <c r="J30" s="2" t="s">
        <v>19</v>
      </c>
      <c r="K30" s="3">
        <v>31</v>
      </c>
      <c r="L30" s="4">
        <v>1.87</v>
      </c>
      <c r="M30">
        <v>57.970000000000006</v>
      </c>
    </row>
  </sheetData>
  <autoFilter ref="A2:H14" xr:uid="{01A4BEEF-D3B7-6348-9772-35E17CFA1687}">
    <filterColumn colId="1">
      <filters>
        <filter val="Eas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E96A-A4AF-2C44-868E-807885ADE931}">
  <dimension ref="A2:J14"/>
  <sheetViews>
    <sheetView zoomScale="130" zoomScaleNormal="130" workbookViewId="0">
      <selection activeCell="E19" sqref="E19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1FD4-B509-AF48-8990-894765C7CD12}">
  <dimension ref="A1:J14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1" spans="1:10" x14ac:dyDescent="0.2">
      <c r="B1" t="s">
        <v>34</v>
      </c>
    </row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autoFilter ref="B2:E2" xr:uid="{5C931FD4-B509-AF48-8990-894765C7CD1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F624-F613-4744-9B07-7933C856020C}">
  <dimension ref="A2:J21"/>
  <sheetViews>
    <sheetView zoomScale="130" zoomScaleNormal="130" workbookViewId="0">
      <selection activeCell="B18" sqref="B18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ref="J5:J14" si="2">G5*I5</f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7" spans="2:4" ht="19" x14ac:dyDescent="0.25">
      <c r="B17" s="24" t="s">
        <v>33</v>
      </c>
      <c r="C17" s="23" t="s">
        <v>32</v>
      </c>
      <c r="D17" s="23" t="s">
        <v>30</v>
      </c>
    </row>
    <row r="18" spans="2:4" x14ac:dyDescent="0.2">
      <c r="C18" s="21" t="s">
        <v>13</v>
      </c>
      <c r="D18" s="22">
        <f>J3+J8+J10+J11</f>
        <v>421.26</v>
      </c>
    </row>
    <row r="19" spans="2:4" x14ac:dyDescent="0.2">
      <c r="C19" s="21" t="s">
        <v>14</v>
      </c>
      <c r="D19" s="22">
        <f>J4+J9</f>
        <v>823.64</v>
      </c>
    </row>
    <row r="20" spans="2:4" x14ac:dyDescent="0.2">
      <c r="C20" s="21" t="s">
        <v>15</v>
      </c>
      <c r="D20" s="22">
        <f>J5+J6+J7+J13+J14</f>
        <v>481.09000000000003</v>
      </c>
    </row>
    <row r="21" spans="2:4" x14ac:dyDescent="0.2">
      <c r="C21" s="21" t="s">
        <v>16</v>
      </c>
      <c r="D21" s="22">
        <f>J12</f>
        <v>37.800000000000004</v>
      </c>
    </row>
  </sheetData>
  <autoFilter ref="A2:J14" xr:uid="{CCB4F624-F613-4744-9B07-7933C856020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8BEF-674F-1549-AE89-4F5AA021D196}">
  <dimension ref="A2:M14"/>
  <sheetViews>
    <sheetView topLeftCell="D1" zoomScale="130" zoomScaleNormal="130" workbookViewId="0">
      <selection activeCell="L3" sqref="L3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  <col min="12" max="12" width="19" bestFit="1" customWidth="1"/>
  </cols>
  <sheetData>
    <row r="2" spans="1:13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  <c r="L2" s="5" t="s">
        <v>35</v>
      </c>
    </row>
    <row r="3" spans="1:13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  <c r="L3" s="18" t="s">
        <v>25</v>
      </c>
      <c r="M3" s="20">
        <f>J3+J4+J7+J8+J9+J13+J14</f>
        <v>1196.92</v>
      </c>
    </row>
    <row r="4" spans="1:13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  <c r="L4" s="18" t="s">
        <v>26</v>
      </c>
      <c r="M4" s="20">
        <f>J6+J11+J12</f>
        <v>368.14000000000004</v>
      </c>
    </row>
    <row r="5" spans="1:13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3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3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3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3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3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3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3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3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3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6D0-FF5E-6E44-BDFB-ABCC4FBDAB78}">
  <dimension ref="A1:O14"/>
  <sheetViews>
    <sheetView topLeftCell="E1" zoomScale="120" zoomScaleNormal="120" workbookViewId="0">
      <selection activeCell="J27" sqref="J27"/>
    </sheetView>
  </sheetViews>
  <sheetFormatPr baseColWidth="10" defaultRowHeight="16" x14ac:dyDescent="0.2"/>
  <cols>
    <col min="1" max="1" width="12.6640625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  <col min="11" max="11" width="12.5" bestFit="1" customWidth="1"/>
    <col min="12" max="13" width="12.5" customWidth="1"/>
    <col min="14" max="14" width="19" bestFit="1" customWidth="1"/>
  </cols>
  <sheetData>
    <row r="1" spans="1:15" x14ac:dyDescent="0.2">
      <c r="M1" s="25" t="s">
        <v>36</v>
      </c>
    </row>
    <row r="2" spans="1:15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  <c r="K2" s="5" t="s">
        <v>9</v>
      </c>
      <c r="L2" s="5" t="s">
        <v>17</v>
      </c>
      <c r="M2" s="19" t="s">
        <v>27</v>
      </c>
    </row>
    <row r="3" spans="1:15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  <c r="K3">
        <f>IF(B3="West",1,0)</f>
        <v>0</v>
      </c>
      <c r="L3">
        <f>IF(E3="Carrot",1)</f>
        <v>1</v>
      </c>
      <c r="M3" t="b">
        <f>IF(K3=L3,1)</f>
        <v>0</v>
      </c>
      <c r="N3" t="s">
        <v>25</v>
      </c>
      <c r="O3" s="4">
        <f>J3+J4+J7+J8+J9+J13+J14</f>
        <v>1196.92</v>
      </c>
    </row>
    <row r="4" spans="1:15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  <c r="K4">
        <f t="shared" ref="K4:K14" si="3">IF(B4="West",1,0)</f>
        <v>0</v>
      </c>
      <c r="L4" t="b">
        <f t="shared" ref="L4:L14" si="4">IF(E4="Carrot",1)</f>
        <v>0</v>
      </c>
      <c r="M4" t="b">
        <f t="shared" ref="M4:M14" si="5">IF(K4=L4,1)</f>
        <v>0</v>
      </c>
      <c r="N4" t="s">
        <v>26</v>
      </c>
      <c r="O4" s="4">
        <f>J6+J11+J12</f>
        <v>368.14000000000004</v>
      </c>
    </row>
    <row r="5" spans="1:15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  <c r="K5">
        <f t="shared" si="3"/>
        <v>1</v>
      </c>
      <c r="L5" t="b">
        <f t="shared" si="4"/>
        <v>0</v>
      </c>
      <c r="M5" t="b">
        <f t="shared" si="5"/>
        <v>0</v>
      </c>
    </row>
    <row r="6" spans="1:15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  <c r="K6">
        <f t="shared" si="3"/>
        <v>0</v>
      </c>
      <c r="L6" t="b">
        <f t="shared" si="4"/>
        <v>0</v>
      </c>
      <c r="M6" t="b">
        <f t="shared" si="5"/>
        <v>0</v>
      </c>
    </row>
    <row r="7" spans="1:15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  <c r="K7">
        <f t="shared" si="3"/>
        <v>0</v>
      </c>
      <c r="L7" t="b">
        <f t="shared" si="4"/>
        <v>0</v>
      </c>
      <c r="M7" t="b">
        <f t="shared" si="5"/>
        <v>0</v>
      </c>
    </row>
    <row r="8" spans="1:15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  <c r="K8">
        <f t="shared" si="3"/>
        <v>0</v>
      </c>
      <c r="L8">
        <f t="shared" si="4"/>
        <v>1</v>
      </c>
      <c r="M8" t="b">
        <f t="shared" si="5"/>
        <v>0</v>
      </c>
    </row>
    <row r="9" spans="1:15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  <c r="K9">
        <f t="shared" si="3"/>
        <v>0</v>
      </c>
      <c r="L9" t="b">
        <f t="shared" si="4"/>
        <v>0</v>
      </c>
      <c r="M9" t="b">
        <f t="shared" si="5"/>
        <v>0</v>
      </c>
    </row>
    <row r="10" spans="1:15" s="18" customFormat="1" ht="19" x14ac:dyDescent="0.25">
      <c r="A10" s="13">
        <v>43852</v>
      </c>
      <c r="B10" s="14" t="s">
        <v>9</v>
      </c>
      <c r="C10" s="14" t="s">
        <v>11</v>
      </c>
      <c r="D10" s="14" t="s">
        <v>13</v>
      </c>
      <c r="E10" s="14" t="s">
        <v>17</v>
      </c>
      <c r="F10" s="15">
        <v>51</v>
      </c>
      <c r="G10" s="15">
        <f t="shared" si="0"/>
        <v>51</v>
      </c>
      <c r="H10" s="16">
        <v>1.77</v>
      </c>
      <c r="I10" s="16">
        <f t="shared" si="1"/>
        <v>1.77</v>
      </c>
      <c r="J10" s="17">
        <f t="shared" si="2"/>
        <v>90.27</v>
      </c>
      <c r="K10" s="18">
        <f t="shared" si="3"/>
        <v>1</v>
      </c>
      <c r="L10" s="18">
        <f t="shared" si="4"/>
        <v>1</v>
      </c>
      <c r="M10" s="18">
        <f t="shared" si="5"/>
        <v>1</v>
      </c>
    </row>
    <row r="11" spans="1:15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  <c r="K11">
        <f t="shared" si="3"/>
        <v>0</v>
      </c>
      <c r="L11">
        <f t="shared" si="4"/>
        <v>1</v>
      </c>
      <c r="M11" t="b">
        <f t="shared" si="5"/>
        <v>0</v>
      </c>
    </row>
    <row r="12" spans="1:15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  <c r="K12">
        <f t="shared" si="3"/>
        <v>0</v>
      </c>
      <c r="L12" t="b">
        <f t="shared" si="4"/>
        <v>0</v>
      </c>
      <c r="M12" t="b">
        <f t="shared" si="5"/>
        <v>0</v>
      </c>
    </row>
    <row r="13" spans="1:15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  <c r="K13">
        <f t="shared" si="3"/>
        <v>0</v>
      </c>
      <c r="L13" t="b">
        <f t="shared" si="4"/>
        <v>0</v>
      </c>
      <c r="M13" t="b">
        <f t="shared" si="5"/>
        <v>0</v>
      </c>
    </row>
    <row r="14" spans="1:15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  <c r="K14">
        <f t="shared" si="3"/>
        <v>0</v>
      </c>
      <c r="L14" t="b">
        <f t="shared" si="4"/>
        <v>0</v>
      </c>
      <c r="M14" t="b">
        <f t="shared" si="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C9AB-B9A5-8543-8DDB-5A6CA516E1F4}">
  <dimension ref="A2:O30"/>
  <sheetViews>
    <sheetView tabSelected="1" topLeftCell="E1" zoomScale="120" zoomScaleNormal="120" workbookViewId="0">
      <selection activeCell="H7" sqref="H7"/>
    </sheetView>
  </sheetViews>
  <sheetFormatPr baseColWidth="10" defaultRowHeight="16" x14ac:dyDescent="0.2"/>
  <cols>
    <col min="1" max="1" width="12.6640625" bestFit="1" customWidth="1"/>
    <col min="5" max="5" width="15.1640625" bestFit="1" customWidth="1"/>
    <col min="6" max="6" width="11" bestFit="1" customWidth="1"/>
    <col min="7" max="7" width="14" bestFit="1" customWidth="1"/>
    <col min="8" max="9" width="14" customWidth="1"/>
    <col min="10" max="10" width="11" bestFit="1" customWidth="1"/>
    <col min="11" max="11" width="16" bestFit="1" customWidth="1"/>
    <col min="12" max="12" width="17" bestFit="1" customWidth="1"/>
    <col min="14" max="14" width="13.1640625" bestFit="1" customWidth="1"/>
  </cols>
  <sheetData>
    <row r="2" spans="1:15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26" t="s">
        <v>38</v>
      </c>
      <c r="I2" s="6"/>
      <c r="J2" s="6" t="s">
        <v>6</v>
      </c>
      <c r="K2" s="6" t="s">
        <v>23</v>
      </c>
      <c r="L2" s="6" t="s">
        <v>24</v>
      </c>
      <c r="M2" s="5" t="s">
        <v>28</v>
      </c>
      <c r="N2" s="5" t="s">
        <v>29</v>
      </c>
      <c r="O2" s="12" t="s">
        <v>37</v>
      </c>
    </row>
    <row r="3" spans="1:15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28" t="s">
        <v>41</v>
      </c>
      <c r="I3" s="28">
        <f>MIN(G3:G14)</f>
        <v>28</v>
      </c>
      <c r="J3" s="10">
        <v>1.77</v>
      </c>
      <c r="K3" s="10">
        <f>ROUND(J3,2)</f>
        <v>1.77</v>
      </c>
      <c r="L3" s="11">
        <f>G3*K3</f>
        <v>58.410000000000004</v>
      </c>
      <c r="M3">
        <f t="shared" ref="M3:M14" si="0">IF(C3="Boston",1)</f>
        <v>1</v>
      </c>
      <c r="N3">
        <f>IF('Q2 (5)'!G3&gt;20,1)</f>
        <v>1</v>
      </c>
      <c r="O3">
        <f>IF(M3=N3,1)</f>
        <v>1</v>
      </c>
    </row>
    <row r="4" spans="1:15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1">INT(F4)</f>
        <v>87</v>
      </c>
      <c r="H4" s="28" t="s">
        <v>42</v>
      </c>
      <c r="I4" s="28">
        <f>MAX(G3:G14)</f>
        <v>149</v>
      </c>
      <c r="J4" s="10">
        <v>3.49</v>
      </c>
      <c r="K4" s="10">
        <f t="shared" ref="K4:K14" si="2">ROUND(J4,2)</f>
        <v>3.49</v>
      </c>
      <c r="L4" s="11">
        <f t="shared" ref="L4:L14" si="3">G4*K4</f>
        <v>303.63</v>
      </c>
      <c r="M4">
        <f t="shared" si="0"/>
        <v>1</v>
      </c>
      <c r="N4">
        <f>IF('Q2 (5)'!G4&gt;20,1)</f>
        <v>1</v>
      </c>
      <c r="O4">
        <f t="shared" ref="O4:O14" si="4">IF(M4=N4,1)</f>
        <v>1</v>
      </c>
    </row>
    <row r="5" spans="1:15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1"/>
        <v>58</v>
      </c>
      <c r="H5" s="9"/>
      <c r="I5" s="9"/>
      <c r="J5" s="10">
        <v>1.87</v>
      </c>
      <c r="K5" s="10">
        <f t="shared" si="2"/>
        <v>1.87</v>
      </c>
      <c r="L5" s="11">
        <f t="shared" si="3"/>
        <v>108.46000000000001</v>
      </c>
      <c r="M5" t="b">
        <f t="shared" si="0"/>
        <v>0</v>
      </c>
      <c r="N5">
        <f>IF('Q2 (5)'!G5&gt;20,1)</f>
        <v>1</v>
      </c>
      <c r="O5" t="b">
        <f t="shared" si="4"/>
        <v>0</v>
      </c>
    </row>
    <row r="6" spans="1:15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1"/>
        <v>82</v>
      </c>
      <c r="H6" s="9"/>
      <c r="I6" s="9"/>
      <c r="J6" s="10">
        <v>1.87</v>
      </c>
      <c r="K6" s="10">
        <f t="shared" si="2"/>
        <v>1.87</v>
      </c>
      <c r="L6" s="11">
        <f t="shared" si="3"/>
        <v>153.34</v>
      </c>
      <c r="M6" t="b">
        <f t="shared" si="0"/>
        <v>0</v>
      </c>
      <c r="N6">
        <f>IF('Q2 (5)'!G6&gt;20,1)</f>
        <v>1</v>
      </c>
      <c r="O6" t="b">
        <f t="shared" si="4"/>
        <v>0</v>
      </c>
    </row>
    <row r="7" spans="1:15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1"/>
        <v>38</v>
      </c>
      <c r="H7" s="9"/>
      <c r="I7" s="9"/>
      <c r="J7" s="10">
        <v>2.1800000000000002</v>
      </c>
      <c r="K7" s="10">
        <f t="shared" si="2"/>
        <v>2.1800000000000002</v>
      </c>
      <c r="L7" s="11">
        <f t="shared" si="3"/>
        <v>82.84</v>
      </c>
      <c r="M7">
        <f t="shared" si="0"/>
        <v>1</v>
      </c>
      <c r="N7">
        <f>IF('Q2 (5)'!G7&gt;20,1)</f>
        <v>1</v>
      </c>
      <c r="O7">
        <f t="shared" si="4"/>
        <v>1</v>
      </c>
    </row>
    <row r="8" spans="1:15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1"/>
        <v>54</v>
      </c>
      <c r="H8" s="9"/>
      <c r="I8" s="9"/>
      <c r="J8" s="10">
        <v>1.77</v>
      </c>
      <c r="K8" s="10">
        <f t="shared" si="2"/>
        <v>1.77</v>
      </c>
      <c r="L8" s="11">
        <f t="shared" si="3"/>
        <v>95.58</v>
      </c>
      <c r="M8">
        <f t="shared" si="0"/>
        <v>1</v>
      </c>
      <c r="N8">
        <f>IF('Q2 (5)'!G8&gt;20,1)</f>
        <v>1</v>
      </c>
      <c r="O8">
        <f t="shared" si="4"/>
        <v>1</v>
      </c>
    </row>
    <row r="9" spans="1:15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1"/>
        <v>149</v>
      </c>
      <c r="H9" s="9"/>
      <c r="I9" s="9"/>
      <c r="J9" s="10">
        <v>3.49</v>
      </c>
      <c r="K9" s="10">
        <f t="shared" si="2"/>
        <v>3.49</v>
      </c>
      <c r="L9" s="11">
        <f t="shared" si="3"/>
        <v>520.01</v>
      </c>
      <c r="M9">
        <f t="shared" si="0"/>
        <v>1</v>
      </c>
      <c r="N9">
        <f>IF('Q2 (5)'!G9&gt;20,1)</f>
        <v>1</v>
      </c>
      <c r="O9">
        <f t="shared" si="4"/>
        <v>1</v>
      </c>
    </row>
    <row r="10" spans="1:15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1"/>
        <v>51</v>
      </c>
      <c r="H10" s="9"/>
      <c r="I10" s="9"/>
      <c r="J10" s="10">
        <v>1.77</v>
      </c>
      <c r="K10" s="10">
        <f t="shared" si="2"/>
        <v>1.77</v>
      </c>
      <c r="L10" s="11">
        <f t="shared" si="3"/>
        <v>90.27</v>
      </c>
      <c r="M10" t="b">
        <f t="shared" si="0"/>
        <v>0</v>
      </c>
      <c r="N10">
        <f>IF('Q2 (5)'!G10&gt;20,1)</f>
        <v>1</v>
      </c>
      <c r="O10" t="b">
        <f t="shared" si="4"/>
        <v>0</v>
      </c>
    </row>
    <row r="11" spans="1:15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1"/>
        <v>100</v>
      </c>
      <c r="H11" s="9"/>
      <c r="I11" s="9"/>
      <c r="J11" s="10">
        <v>1.77</v>
      </c>
      <c r="K11" s="10">
        <f t="shared" si="2"/>
        <v>1.77</v>
      </c>
      <c r="L11" s="11">
        <f t="shared" si="3"/>
        <v>177</v>
      </c>
      <c r="M11" t="b">
        <f t="shared" si="0"/>
        <v>0</v>
      </c>
      <c r="N11">
        <f>IF('Q2 (5)'!G11&gt;20,1)</f>
        <v>1</v>
      </c>
      <c r="O11" t="b">
        <f t="shared" si="4"/>
        <v>0</v>
      </c>
    </row>
    <row r="12" spans="1:15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1"/>
        <v>28</v>
      </c>
      <c r="H12" s="9"/>
      <c r="I12" s="9"/>
      <c r="J12" s="10">
        <v>1.35</v>
      </c>
      <c r="K12" s="10">
        <f t="shared" si="2"/>
        <v>1.35</v>
      </c>
      <c r="L12" s="11">
        <f t="shared" si="3"/>
        <v>37.800000000000004</v>
      </c>
      <c r="M12" t="b">
        <f t="shared" si="0"/>
        <v>0</v>
      </c>
      <c r="N12">
        <f>IF('Q2 (5)'!G12&gt;20,1)</f>
        <v>1</v>
      </c>
      <c r="O12" t="b">
        <f t="shared" si="4"/>
        <v>0</v>
      </c>
    </row>
    <row r="13" spans="1:15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1"/>
        <v>36</v>
      </c>
      <c r="H13" s="9"/>
      <c r="I13" s="9"/>
      <c r="J13" s="10">
        <v>2.1800000000000002</v>
      </c>
      <c r="K13" s="10">
        <f t="shared" si="2"/>
        <v>2.1800000000000002</v>
      </c>
      <c r="L13" s="11">
        <f t="shared" si="3"/>
        <v>78.48</v>
      </c>
      <c r="M13">
        <f t="shared" si="0"/>
        <v>1</v>
      </c>
      <c r="N13">
        <f>IF('Q2 (5)'!G13&gt;20,1)</f>
        <v>1</v>
      </c>
      <c r="O13">
        <f t="shared" si="4"/>
        <v>1</v>
      </c>
    </row>
    <row r="14" spans="1:15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1"/>
        <v>31</v>
      </c>
      <c r="H14" s="9"/>
      <c r="I14" s="9"/>
      <c r="J14" s="10">
        <v>1.87</v>
      </c>
      <c r="K14" s="10">
        <f t="shared" si="2"/>
        <v>1.87</v>
      </c>
      <c r="L14" s="11">
        <f t="shared" si="3"/>
        <v>57.970000000000006</v>
      </c>
      <c r="M14">
        <f t="shared" si="0"/>
        <v>1</v>
      </c>
      <c r="N14">
        <f>IF('Q2 (5)'!G14&gt;20,1)</f>
        <v>1</v>
      </c>
      <c r="O14">
        <f t="shared" si="4"/>
        <v>1</v>
      </c>
    </row>
    <row r="19" spans="4:11" ht="19" x14ac:dyDescent="0.25">
      <c r="D19" s="5"/>
      <c r="F19" s="4"/>
    </row>
    <row r="23" spans="4:11" ht="19" x14ac:dyDescent="0.25">
      <c r="D23" s="6" t="s">
        <v>4</v>
      </c>
      <c r="E23" s="6" t="s">
        <v>5</v>
      </c>
      <c r="F23" s="6" t="s">
        <v>22</v>
      </c>
      <c r="G23" s="6" t="s">
        <v>6</v>
      </c>
      <c r="H23" s="6"/>
      <c r="I23" s="6"/>
      <c r="J23" s="6" t="s">
        <v>23</v>
      </c>
      <c r="K23" s="6" t="s">
        <v>24</v>
      </c>
    </row>
    <row r="24" spans="4:11" ht="19" x14ac:dyDescent="0.25">
      <c r="D24" s="8" t="s">
        <v>17</v>
      </c>
      <c r="E24" s="9">
        <v>33</v>
      </c>
      <c r="F24" s="9">
        <v>33</v>
      </c>
      <c r="G24" s="10">
        <v>1.77</v>
      </c>
      <c r="H24" s="10"/>
      <c r="I24" s="10"/>
      <c r="J24" s="10">
        <v>1.77</v>
      </c>
      <c r="K24" s="11">
        <v>58.410000000000004</v>
      </c>
    </row>
    <row r="25" spans="4:11" ht="19" x14ac:dyDescent="0.25">
      <c r="D25" s="8" t="s">
        <v>20</v>
      </c>
      <c r="E25" s="9">
        <v>38</v>
      </c>
      <c r="F25" s="9">
        <v>38</v>
      </c>
      <c r="G25" s="10">
        <v>2.1800000000000002</v>
      </c>
      <c r="H25" s="10"/>
      <c r="I25" s="10"/>
      <c r="J25" s="10">
        <v>2.1800000000000002</v>
      </c>
      <c r="K25" s="11">
        <v>82.84</v>
      </c>
    </row>
    <row r="26" spans="4:11" ht="19" x14ac:dyDescent="0.25">
      <c r="D26" s="8" t="s">
        <v>17</v>
      </c>
      <c r="E26" s="9">
        <v>54</v>
      </c>
      <c r="F26" s="9">
        <v>54</v>
      </c>
      <c r="G26" s="10">
        <v>1.77</v>
      </c>
      <c r="H26" s="10"/>
      <c r="I26" s="10"/>
      <c r="J26" s="10">
        <v>1.77</v>
      </c>
      <c r="K26" s="11">
        <v>95.58</v>
      </c>
    </row>
    <row r="27" spans="4:11" ht="19" x14ac:dyDescent="0.25">
      <c r="D27" s="8" t="s">
        <v>17</v>
      </c>
      <c r="E27" s="9">
        <v>51</v>
      </c>
      <c r="F27" s="9">
        <v>51</v>
      </c>
      <c r="G27" s="10">
        <v>1.77</v>
      </c>
      <c r="H27" s="10"/>
      <c r="I27" s="10"/>
      <c r="J27" s="10">
        <v>1.77</v>
      </c>
      <c r="K27" s="11">
        <v>90.27</v>
      </c>
    </row>
    <row r="28" spans="4:11" ht="19" x14ac:dyDescent="0.25">
      <c r="D28" s="8" t="s">
        <v>17</v>
      </c>
      <c r="E28" s="9">
        <v>100</v>
      </c>
      <c r="F28" s="9">
        <v>100</v>
      </c>
      <c r="G28" s="10">
        <v>1.77</v>
      </c>
      <c r="H28" s="10"/>
      <c r="I28" s="10"/>
      <c r="J28" s="10">
        <v>1.77</v>
      </c>
      <c r="K28" s="11">
        <v>177</v>
      </c>
    </row>
    <row r="29" spans="4:11" ht="19" x14ac:dyDescent="0.25">
      <c r="D29" s="8" t="s">
        <v>20</v>
      </c>
      <c r="E29" s="9">
        <v>36</v>
      </c>
      <c r="F29" s="9">
        <v>36</v>
      </c>
      <c r="G29" s="10">
        <v>2.1800000000000002</v>
      </c>
      <c r="H29" s="10"/>
      <c r="I29" s="10"/>
      <c r="J29" s="10">
        <v>2.1800000000000002</v>
      </c>
      <c r="K29" s="11">
        <v>78.48</v>
      </c>
    </row>
    <row r="30" spans="4:11" ht="19" x14ac:dyDescent="0.25">
      <c r="G30" s="12" t="s">
        <v>40</v>
      </c>
      <c r="H30" s="12"/>
      <c r="I30" s="12"/>
      <c r="J30" t="s">
        <v>39</v>
      </c>
      <c r="K30" s="4">
        <f>SUM(K24:K29)</f>
        <v>582.57999999999993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9C45-21AA-1247-98F7-B689FB873F59}">
  <sheetPr filterMode="1"/>
  <dimension ref="A2:J33"/>
  <sheetViews>
    <sheetView zoomScale="120" zoomScaleNormal="120" workbookViewId="0">
      <selection activeCell="G17" sqref="G17"/>
    </sheetView>
  </sheetViews>
  <sheetFormatPr baseColWidth="10" defaultRowHeight="16" x14ac:dyDescent="0.2"/>
  <cols>
    <col min="1" max="1" width="12.6640625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8" spans="1:10" x14ac:dyDescent="0.2">
      <c r="F18" s="18" t="s">
        <v>44</v>
      </c>
    </row>
    <row r="19" spans="1:10" ht="19" x14ac:dyDescent="0.25">
      <c r="D19" s="12" t="s">
        <v>43</v>
      </c>
      <c r="E19" s="8" t="s">
        <v>14</v>
      </c>
      <c r="F19" s="4">
        <f>J28/G28</f>
        <v>1.9636326530612247</v>
      </c>
    </row>
    <row r="20" spans="1:10" ht="19" x14ac:dyDescent="0.25">
      <c r="E20" s="8" t="s">
        <v>15</v>
      </c>
      <c r="F20">
        <f>J33/G33</f>
        <v>3.4899999999999998</v>
      </c>
    </row>
    <row r="22" spans="1:10" ht="19" x14ac:dyDescent="0.25">
      <c r="A22" s="6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22</v>
      </c>
      <c r="H22" s="6" t="s">
        <v>6</v>
      </c>
      <c r="I22" s="6" t="s">
        <v>23</v>
      </c>
      <c r="J22" s="6" t="s">
        <v>24</v>
      </c>
    </row>
    <row r="23" spans="1:10" ht="19" x14ac:dyDescent="0.25">
      <c r="A23" s="7">
        <v>43837</v>
      </c>
      <c r="B23" s="8" t="s">
        <v>9</v>
      </c>
      <c r="C23" s="8" t="s">
        <v>11</v>
      </c>
      <c r="D23" s="8" t="s">
        <v>15</v>
      </c>
      <c r="E23" s="8" t="s">
        <v>19</v>
      </c>
      <c r="F23" s="9">
        <v>58</v>
      </c>
      <c r="G23" s="9">
        <v>58</v>
      </c>
      <c r="H23" s="10">
        <v>1.87</v>
      </c>
      <c r="I23" s="10">
        <v>1.87</v>
      </c>
      <c r="J23" s="11">
        <v>108.46000000000001</v>
      </c>
    </row>
    <row r="24" spans="1:10" ht="19" x14ac:dyDescent="0.25">
      <c r="A24" s="7">
        <v>43840</v>
      </c>
      <c r="B24" s="8" t="s">
        <v>8</v>
      </c>
      <c r="C24" s="8" t="s">
        <v>12</v>
      </c>
      <c r="D24" s="8" t="s">
        <v>15</v>
      </c>
      <c r="E24" s="8" t="s">
        <v>19</v>
      </c>
      <c r="F24" s="9">
        <v>82</v>
      </c>
      <c r="G24" s="9">
        <v>82</v>
      </c>
      <c r="H24" s="10">
        <v>1.87</v>
      </c>
      <c r="I24" s="10">
        <v>1.87</v>
      </c>
      <c r="J24" s="11">
        <v>153.34</v>
      </c>
    </row>
    <row r="25" spans="1:10" ht="19" x14ac:dyDescent="0.25">
      <c r="A25" s="7">
        <v>43843</v>
      </c>
      <c r="B25" s="8" t="s">
        <v>8</v>
      </c>
      <c r="C25" s="8" t="s">
        <v>10</v>
      </c>
      <c r="D25" s="8" t="s">
        <v>15</v>
      </c>
      <c r="E25" s="8" t="s">
        <v>20</v>
      </c>
      <c r="F25" s="9">
        <v>38</v>
      </c>
      <c r="G25" s="9">
        <v>38</v>
      </c>
      <c r="H25" s="10">
        <v>2.1800000000000002</v>
      </c>
      <c r="I25" s="10">
        <v>2.1800000000000002</v>
      </c>
      <c r="J25" s="11">
        <v>82.84</v>
      </c>
    </row>
    <row r="26" spans="1:10" ht="19" x14ac:dyDescent="0.25">
      <c r="A26" s="7">
        <v>43861</v>
      </c>
      <c r="B26" s="8" t="s">
        <v>8</v>
      </c>
      <c r="C26" s="8" t="s">
        <v>10</v>
      </c>
      <c r="D26" s="8" t="s">
        <v>15</v>
      </c>
      <c r="E26" s="8" t="s">
        <v>20</v>
      </c>
      <c r="F26" s="9">
        <v>36</v>
      </c>
      <c r="G26" s="9">
        <v>36</v>
      </c>
      <c r="H26" s="10">
        <v>2.1800000000000002</v>
      </c>
      <c r="I26" s="10">
        <v>2.1800000000000002</v>
      </c>
      <c r="J26" s="11">
        <v>78.48</v>
      </c>
    </row>
    <row r="27" spans="1:10" ht="19" x14ac:dyDescent="0.25">
      <c r="A27" s="7">
        <v>43864</v>
      </c>
      <c r="B27" s="8" t="s">
        <v>8</v>
      </c>
      <c r="C27" s="8" t="s">
        <v>10</v>
      </c>
      <c r="D27" s="8" t="s">
        <v>15</v>
      </c>
      <c r="E27" s="8" t="s">
        <v>19</v>
      </c>
      <c r="F27" s="9">
        <v>31</v>
      </c>
      <c r="G27" s="9">
        <v>31</v>
      </c>
      <c r="H27" s="10">
        <v>1.87</v>
      </c>
      <c r="I27" s="10">
        <v>1.87</v>
      </c>
      <c r="J27" s="11">
        <v>57.970000000000006</v>
      </c>
    </row>
    <row r="28" spans="1:10" x14ac:dyDescent="0.2">
      <c r="G28" s="3">
        <f>SUM(G23:G27)</f>
        <v>245</v>
      </c>
      <c r="H28" s="3"/>
      <c r="I28" s="3"/>
      <c r="J28" s="3">
        <f t="shared" ref="J28" si="3">SUM(J23:J27)</f>
        <v>481.09000000000003</v>
      </c>
    </row>
    <row r="30" spans="1:10" ht="19" x14ac:dyDescent="0.25">
      <c r="A30" s="6" t="s">
        <v>0</v>
      </c>
      <c r="B30" s="6" t="s">
        <v>1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22</v>
      </c>
      <c r="H30" s="6" t="s">
        <v>6</v>
      </c>
      <c r="I30" s="6" t="s">
        <v>23</v>
      </c>
      <c r="J30" s="6" t="s">
        <v>24</v>
      </c>
    </row>
    <row r="31" spans="1:10" ht="19" x14ac:dyDescent="0.25">
      <c r="A31" s="7">
        <v>43834</v>
      </c>
      <c r="B31" s="8" t="s">
        <v>8</v>
      </c>
      <c r="C31" s="8" t="s">
        <v>10</v>
      </c>
      <c r="D31" s="8" t="s">
        <v>14</v>
      </c>
      <c r="E31" s="8" t="s">
        <v>18</v>
      </c>
      <c r="F31" s="9">
        <v>87</v>
      </c>
      <c r="G31" s="9">
        <v>87</v>
      </c>
      <c r="H31" s="10">
        <v>3.49</v>
      </c>
      <c r="I31" s="10">
        <v>3.49</v>
      </c>
      <c r="J31" s="11">
        <v>303.63</v>
      </c>
    </row>
    <row r="32" spans="1:10" ht="19" x14ac:dyDescent="0.25">
      <c r="A32" s="7">
        <v>43849</v>
      </c>
      <c r="B32" s="8" t="s">
        <v>8</v>
      </c>
      <c r="C32" s="8" t="s">
        <v>10</v>
      </c>
      <c r="D32" s="8" t="s">
        <v>14</v>
      </c>
      <c r="E32" s="8" t="s">
        <v>18</v>
      </c>
      <c r="F32" s="9">
        <v>149</v>
      </c>
      <c r="G32" s="9">
        <v>149</v>
      </c>
      <c r="H32" s="10">
        <v>3.49</v>
      </c>
      <c r="I32" s="10">
        <v>3.49</v>
      </c>
      <c r="J32" s="11">
        <v>520.01</v>
      </c>
    </row>
    <row r="33" spans="7:10" x14ac:dyDescent="0.2">
      <c r="G33" s="3">
        <f>SUM(G31:G32)</f>
        <v>236</v>
      </c>
      <c r="H33" s="3"/>
      <c r="I33" s="3"/>
      <c r="J33" s="3">
        <f t="shared" ref="J33" si="4">SUM(J31:J32)</f>
        <v>823.64</v>
      </c>
    </row>
  </sheetData>
  <autoFilter ref="A2:J14" xr:uid="{8CD6C9AB-B9A5-8543-8DDB-5A6CA516E1F4}">
    <filterColumn colId="3">
      <filters>
        <filter val="Crackers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AD32-F6EA-1A4A-9353-A143AD4CE77E}">
  <sheetPr filterMode="1"/>
  <dimension ref="A2:K23"/>
  <sheetViews>
    <sheetView topLeftCell="B1" zoomScale="130" zoomScaleNormal="130" workbookViewId="0">
      <selection activeCell="F26" sqref="F26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4" customWidth="1"/>
    <col min="9" max="9" width="11" bestFit="1" customWidth="1"/>
    <col min="10" max="10" width="16" bestFit="1" customWidth="1"/>
    <col min="11" max="11" width="17" bestFit="1" customWidth="1"/>
  </cols>
  <sheetData>
    <row r="2" spans="1:11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/>
      <c r="I2" s="6" t="s">
        <v>6</v>
      </c>
      <c r="J2" s="6" t="s">
        <v>23</v>
      </c>
      <c r="K2" s="6" t="s">
        <v>24</v>
      </c>
    </row>
    <row r="3" spans="1:11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9"/>
      <c r="I3" s="10">
        <v>1.77</v>
      </c>
      <c r="J3" s="10">
        <f>ROUND(I3,2)</f>
        <v>1.77</v>
      </c>
      <c r="K3" s="11">
        <f>G3*J3</f>
        <v>58.410000000000004</v>
      </c>
    </row>
    <row r="4" spans="1:11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9"/>
      <c r="I4" s="10">
        <v>3.49</v>
      </c>
      <c r="J4" s="10">
        <f t="shared" ref="J4:J14" si="1">ROUND(I4,2)</f>
        <v>3.49</v>
      </c>
      <c r="K4" s="11">
        <f t="shared" ref="K4:K14" si="2">G4*J4</f>
        <v>303.63</v>
      </c>
    </row>
    <row r="5" spans="1:11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9"/>
      <c r="I5" s="10">
        <v>1.87</v>
      </c>
      <c r="J5" s="10">
        <f t="shared" si="1"/>
        <v>1.87</v>
      </c>
      <c r="K5" s="11">
        <f t="shared" si="2"/>
        <v>108.46000000000001</v>
      </c>
    </row>
    <row r="6" spans="1:11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9"/>
      <c r="I6" s="10">
        <v>1.87</v>
      </c>
      <c r="J6" s="10">
        <f t="shared" si="1"/>
        <v>1.87</v>
      </c>
      <c r="K6" s="11">
        <f t="shared" si="2"/>
        <v>153.34</v>
      </c>
    </row>
    <row r="7" spans="1:11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9"/>
      <c r="I7" s="10">
        <v>2.1800000000000002</v>
      </c>
      <c r="J7" s="10">
        <f t="shared" si="1"/>
        <v>2.1800000000000002</v>
      </c>
      <c r="K7" s="11">
        <f t="shared" si="2"/>
        <v>82.84</v>
      </c>
    </row>
    <row r="8" spans="1:11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9"/>
      <c r="I8" s="10">
        <v>1.77</v>
      </c>
      <c r="J8" s="10">
        <f t="shared" si="1"/>
        <v>1.77</v>
      </c>
      <c r="K8" s="11">
        <f t="shared" si="2"/>
        <v>95.58</v>
      </c>
    </row>
    <row r="9" spans="1:11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9"/>
      <c r="I9" s="10">
        <v>3.49</v>
      </c>
      <c r="J9" s="10">
        <f t="shared" si="1"/>
        <v>3.49</v>
      </c>
      <c r="K9" s="11">
        <f t="shared" si="2"/>
        <v>520.01</v>
      </c>
    </row>
    <row r="10" spans="1:11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9"/>
      <c r="I10" s="10">
        <v>1.77</v>
      </c>
      <c r="J10" s="10">
        <f t="shared" si="1"/>
        <v>1.77</v>
      </c>
      <c r="K10" s="11">
        <f t="shared" si="2"/>
        <v>90.27</v>
      </c>
    </row>
    <row r="11" spans="1:11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9"/>
      <c r="I11" s="10">
        <v>1.77</v>
      </c>
      <c r="J11" s="10">
        <f t="shared" si="1"/>
        <v>1.77</v>
      </c>
      <c r="K11" s="11">
        <f t="shared" si="2"/>
        <v>177</v>
      </c>
    </row>
    <row r="12" spans="1:11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9"/>
      <c r="I12" s="10">
        <v>1.35</v>
      </c>
      <c r="J12" s="10">
        <f t="shared" si="1"/>
        <v>1.35</v>
      </c>
      <c r="K12" s="11">
        <f t="shared" si="2"/>
        <v>37.800000000000004</v>
      </c>
    </row>
    <row r="13" spans="1:11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9"/>
      <c r="I13" s="10">
        <v>2.1800000000000002</v>
      </c>
      <c r="J13" s="10">
        <f t="shared" si="1"/>
        <v>2.1800000000000002</v>
      </c>
      <c r="K13" s="11">
        <f t="shared" si="2"/>
        <v>78.48</v>
      </c>
    </row>
    <row r="14" spans="1:11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9"/>
      <c r="I14" s="10">
        <v>1.87</v>
      </c>
      <c r="J14" s="10">
        <f t="shared" si="1"/>
        <v>1.87</v>
      </c>
      <c r="K14" s="11">
        <f t="shared" si="2"/>
        <v>57.970000000000006</v>
      </c>
    </row>
    <row r="21" spans="1:11" ht="19" x14ac:dyDescent="0.25">
      <c r="A21" s="6" t="s">
        <v>0</v>
      </c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22</v>
      </c>
      <c r="H21" s="26" t="s">
        <v>46</v>
      </c>
      <c r="I21" s="6" t="s">
        <v>6</v>
      </c>
      <c r="J21" s="6" t="s">
        <v>23</v>
      </c>
      <c r="K21" s="6" t="s">
        <v>24</v>
      </c>
    </row>
    <row r="22" spans="1:11" ht="19" x14ac:dyDescent="0.25">
      <c r="A22" s="7">
        <v>43834</v>
      </c>
      <c r="B22" s="8" t="s">
        <v>8</v>
      </c>
      <c r="C22" s="8" t="s">
        <v>10</v>
      </c>
      <c r="D22" s="8" t="s">
        <v>14</v>
      </c>
      <c r="E22" s="8" t="s">
        <v>18</v>
      </c>
      <c r="F22" s="9">
        <v>87</v>
      </c>
      <c r="G22" s="9">
        <v>87</v>
      </c>
      <c r="H22" s="9">
        <f>COUNT(G22:G23)</f>
        <v>2</v>
      </c>
      <c r="I22" s="10">
        <v>3.49</v>
      </c>
      <c r="J22" s="10">
        <v>3.49</v>
      </c>
      <c r="K22" s="11">
        <v>303.63</v>
      </c>
    </row>
    <row r="23" spans="1:11" ht="19" x14ac:dyDescent="0.25">
      <c r="A23" s="7">
        <v>43849</v>
      </c>
      <c r="B23" s="8" t="s">
        <v>8</v>
      </c>
      <c r="C23" s="8" t="s">
        <v>10</v>
      </c>
      <c r="D23" s="8" t="s">
        <v>14</v>
      </c>
      <c r="E23" s="8" t="s">
        <v>18</v>
      </c>
      <c r="F23" s="9">
        <v>149</v>
      </c>
      <c r="G23" s="9">
        <v>149</v>
      </c>
      <c r="H23" s="9"/>
      <c r="I23" s="10">
        <v>3.49</v>
      </c>
      <c r="J23" s="10">
        <v>3.49</v>
      </c>
      <c r="K23" s="11">
        <v>520.01</v>
      </c>
    </row>
  </sheetData>
  <autoFilter ref="A2:L14" xr:uid="{404EAD32-F6EA-1A4A-9353-A143AD4CE77E}">
    <filterColumn colId="3">
      <filters>
        <filter val="Crackers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D1D9-DADA-334A-B5C4-B660EC6A0471}">
  <sheetPr filterMode="1"/>
  <dimension ref="A2:K22"/>
  <sheetViews>
    <sheetView topLeftCell="C1" zoomScale="130" zoomScaleNormal="130" workbookViewId="0">
      <selection activeCell="K9" sqref="K9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8" spans="1:11" ht="19" x14ac:dyDescent="0.25">
      <c r="A18" s="6" t="s">
        <v>0</v>
      </c>
      <c r="B18" s="6" t="s">
        <v>1</v>
      </c>
      <c r="C18" s="6" t="s">
        <v>2</v>
      </c>
      <c r="D18" s="6" t="s">
        <v>3</v>
      </c>
      <c r="E18" s="6" t="s">
        <v>4</v>
      </c>
      <c r="F18" s="6" t="s">
        <v>5</v>
      </c>
      <c r="G18" s="6" t="s">
        <v>22</v>
      </c>
      <c r="H18" s="6" t="s">
        <v>6</v>
      </c>
      <c r="I18" s="6" t="s">
        <v>23</v>
      </c>
      <c r="J18" s="6" t="s">
        <v>24</v>
      </c>
      <c r="K18" s="27" t="s">
        <v>45</v>
      </c>
    </row>
    <row r="19" spans="1:11" ht="19" x14ac:dyDescent="0.25">
      <c r="A19" s="7">
        <v>43831</v>
      </c>
      <c r="B19" s="8" t="s">
        <v>8</v>
      </c>
      <c r="C19" s="8" t="s">
        <v>10</v>
      </c>
      <c r="D19" s="8" t="s">
        <v>13</v>
      </c>
      <c r="E19" s="8" t="s">
        <v>17</v>
      </c>
      <c r="F19" s="9">
        <v>33</v>
      </c>
      <c r="G19" s="9">
        <v>33</v>
      </c>
      <c r="H19" s="10">
        <v>1.77</v>
      </c>
      <c r="I19" s="10">
        <v>1.77</v>
      </c>
      <c r="J19" s="11">
        <v>58.410000000000004</v>
      </c>
      <c r="K19">
        <f>SUMIF(I19:I22,"&gt;100",J19:J22)</f>
        <v>0</v>
      </c>
    </row>
    <row r="20" spans="1:11" ht="19" x14ac:dyDescent="0.25">
      <c r="A20" s="7">
        <v>43846</v>
      </c>
      <c r="B20" s="8" t="s">
        <v>8</v>
      </c>
      <c r="C20" s="8" t="s">
        <v>10</v>
      </c>
      <c r="D20" s="8" t="s">
        <v>13</v>
      </c>
      <c r="E20" s="8" t="s">
        <v>17</v>
      </c>
      <c r="F20" s="9">
        <v>54</v>
      </c>
      <c r="G20" s="9">
        <v>54</v>
      </c>
      <c r="H20" s="10">
        <v>1.77</v>
      </c>
      <c r="I20" s="10">
        <v>1.77</v>
      </c>
      <c r="J20" s="11">
        <v>95.58</v>
      </c>
    </row>
    <row r="21" spans="1:11" ht="19" x14ac:dyDescent="0.25">
      <c r="A21" s="7">
        <v>43852</v>
      </c>
      <c r="B21" s="8" t="s">
        <v>9</v>
      </c>
      <c r="C21" s="8" t="s">
        <v>11</v>
      </c>
      <c r="D21" s="8" t="s">
        <v>13</v>
      </c>
      <c r="E21" s="8" t="s">
        <v>17</v>
      </c>
      <c r="F21" s="9">
        <v>51</v>
      </c>
      <c r="G21" s="9">
        <v>51</v>
      </c>
      <c r="H21" s="10">
        <v>1.77</v>
      </c>
      <c r="I21" s="10">
        <v>1.77</v>
      </c>
      <c r="J21" s="11">
        <v>90.27</v>
      </c>
    </row>
    <row r="22" spans="1:11" ht="19" x14ac:dyDescent="0.25">
      <c r="A22" s="7">
        <v>43855</v>
      </c>
      <c r="B22" s="8" t="s">
        <v>8</v>
      </c>
      <c r="C22" s="8" t="s">
        <v>12</v>
      </c>
      <c r="D22" s="8" t="s">
        <v>13</v>
      </c>
      <c r="E22" s="8" t="s">
        <v>17</v>
      </c>
      <c r="F22" s="9">
        <v>100</v>
      </c>
      <c r="G22" s="9">
        <v>100</v>
      </c>
      <c r="H22" s="10">
        <v>1.77</v>
      </c>
      <c r="I22" s="10">
        <v>1.77</v>
      </c>
      <c r="J22" s="11">
        <v>177</v>
      </c>
    </row>
  </sheetData>
  <autoFilter ref="A2:J14" xr:uid="{46B2D1D9-DADA-334A-B5C4-B660EC6A0471}">
    <filterColumn colId="3">
      <filters>
        <filter val="Crackers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0A43-C223-694A-95C8-C20FEB066EEC}">
  <sheetPr filterMode="1"/>
  <dimension ref="A2:J16"/>
  <sheetViews>
    <sheetView zoomScale="130" zoomScaleNormal="130" workbookViewId="0">
      <selection activeCell="I20" sqref="I20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hidden="1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hidden="1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hidden="1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hidden="1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hidden="1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hidden="1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hidden="1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hidden="1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hidden="1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hidden="1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  <row r="16" spans="1:10" x14ac:dyDescent="0.2">
      <c r="I16" s="18" t="s">
        <v>47</v>
      </c>
      <c r="J16">
        <f>(J4+J9)/(G4+G9)</f>
        <v>3.4899999999999998</v>
      </c>
    </row>
  </sheetData>
  <autoFilter ref="A2:J14" xr:uid="{D4F50A43-C223-694A-95C8-C20FEB066EEC}">
    <filterColumn colId="4">
      <filters>
        <filter val="Whole Wheat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ABB1-4D41-6F4A-846F-8700EBAA9E64}">
  <dimension ref="A2:J14"/>
  <sheetViews>
    <sheetView zoomScale="130" zoomScaleNormal="130" workbookViewId="0">
      <selection activeCell="I18" sqref="I18"/>
    </sheetView>
  </sheetViews>
  <sheetFormatPr baseColWidth="10" defaultRowHeight="16" x14ac:dyDescent="0.2"/>
  <cols>
    <col min="1" max="1" width="12" bestFit="1" customWidth="1"/>
    <col min="5" max="5" width="15.1640625" bestFit="1" customWidth="1"/>
    <col min="6" max="6" width="11" bestFit="1" customWidth="1"/>
    <col min="7" max="7" width="14" bestFit="1" customWidth="1"/>
    <col min="8" max="8" width="11" bestFit="1" customWidth="1"/>
    <col min="9" max="9" width="16" bestFit="1" customWidth="1"/>
    <col min="10" max="10" width="17" bestFit="1" customWidth="1"/>
  </cols>
  <sheetData>
    <row r="2" spans="1:10" s="5" customFormat="1" ht="19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22</v>
      </c>
      <c r="H2" s="6" t="s">
        <v>6</v>
      </c>
      <c r="I2" s="6" t="s">
        <v>23</v>
      </c>
      <c r="J2" s="6" t="s">
        <v>24</v>
      </c>
    </row>
    <row r="3" spans="1:10" ht="19" x14ac:dyDescent="0.25">
      <c r="A3" s="7">
        <v>43831</v>
      </c>
      <c r="B3" s="8" t="s">
        <v>8</v>
      </c>
      <c r="C3" s="8" t="s">
        <v>10</v>
      </c>
      <c r="D3" s="8" t="s">
        <v>13</v>
      </c>
      <c r="E3" s="8" t="s">
        <v>17</v>
      </c>
      <c r="F3" s="9">
        <v>33</v>
      </c>
      <c r="G3" s="9">
        <f>INT(F3)</f>
        <v>33</v>
      </c>
      <c r="H3" s="10">
        <v>1.77</v>
      </c>
      <c r="I3" s="10">
        <f>ROUND(H3,2)</f>
        <v>1.77</v>
      </c>
      <c r="J3" s="11">
        <f>G3*I3</f>
        <v>58.410000000000004</v>
      </c>
    </row>
    <row r="4" spans="1:10" ht="19" x14ac:dyDescent="0.25">
      <c r="A4" s="7">
        <v>43834</v>
      </c>
      <c r="B4" s="8" t="s">
        <v>8</v>
      </c>
      <c r="C4" s="8" t="s">
        <v>10</v>
      </c>
      <c r="D4" s="8" t="s">
        <v>14</v>
      </c>
      <c r="E4" s="8" t="s">
        <v>18</v>
      </c>
      <c r="F4" s="9">
        <v>87</v>
      </c>
      <c r="G4" s="9">
        <f t="shared" ref="G4:G14" si="0">INT(F4)</f>
        <v>87</v>
      </c>
      <c r="H4" s="10">
        <v>3.49</v>
      </c>
      <c r="I4" s="10">
        <f t="shared" ref="I4:I14" si="1">ROUND(H4,2)</f>
        <v>3.49</v>
      </c>
      <c r="J4" s="11">
        <f t="shared" ref="J4:J14" si="2">G4*I4</f>
        <v>303.63</v>
      </c>
    </row>
    <row r="5" spans="1:10" ht="19" x14ac:dyDescent="0.25">
      <c r="A5" s="7">
        <v>43837</v>
      </c>
      <c r="B5" s="8" t="s">
        <v>9</v>
      </c>
      <c r="C5" s="8" t="s">
        <v>11</v>
      </c>
      <c r="D5" s="8" t="s">
        <v>15</v>
      </c>
      <c r="E5" s="8" t="s">
        <v>19</v>
      </c>
      <c r="F5" s="9">
        <v>58</v>
      </c>
      <c r="G5" s="9">
        <f t="shared" si="0"/>
        <v>58</v>
      </c>
      <c r="H5" s="10">
        <v>1.87</v>
      </c>
      <c r="I5" s="10">
        <f t="shared" si="1"/>
        <v>1.87</v>
      </c>
      <c r="J5" s="11">
        <f t="shared" si="2"/>
        <v>108.46000000000001</v>
      </c>
    </row>
    <row r="6" spans="1:10" ht="19" x14ac:dyDescent="0.25">
      <c r="A6" s="7">
        <v>43840</v>
      </c>
      <c r="B6" s="8" t="s">
        <v>8</v>
      </c>
      <c r="C6" s="8" t="s">
        <v>12</v>
      </c>
      <c r="D6" s="8" t="s">
        <v>15</v>
      </c>
      <c r="E6" s="8" t="s">
        <v>19</v>
      </c>
      <c r="F6" s="9">
        <v>82</v>
      </c>
      <c r="G6" s="9">
        <f t="shared" si="0"/>
        <v>82</v>
      </c>
      <c r="H6" s="10">
        <v>1.87</v>
      </c>
      <c r="I6" s="10">
        <f t="shared" si="1"/>
        <v>1.87</v>
      </c>
      <c r="J6" s="11">
        <f t="shared" si="2"/>
        <v>153.34</v>
      </c>
    </row>
    <row r="7" spans="1:10" ht="19" x14ac:dyDescent="0.25">
      <c r="A7" s="7">
        <v>43843</v>
      </c>
      <c r="B7" s="8" t="s">
        <v>8</v>
      </c>
      <c r="C7" s="8" t="s">
        <v>10</v>
      </c>
      <c r="D7" s="8" t="s">
        <v>15</v>
      </c>
      <c r="E7" s="8" t="s">
        <v>20</v>
      </c>
      <c r="F7" s="9">
        <v>38</v>
      </c>
      <c r="G7" s="9">
        <f t="shared" si="0"/>
        <v>38</v>
      </c>
      <c r="H7" s="10">
        <v>2.1800000000000002</v>
      </c>
      <c r="I7" s="10">
        <f t="shared" si="1"/>
        <v>2.1800000000000002</v>
      </c>
      <c r="J7" s="11">
        <f t="shared" si="2"/>
        <v>82.84</v>
      </c>
    </row>
    <row r="8" spans="1:10" ht="19" x14ac:dyDescent="0.25">
      <c r="A8" s="7">
        <v>43846</v>
      </c>
      <c r="B8" s="8" t="s">
        <v>8</v>
      </c>
      <c r="C8" s="8" t="s">
        <v>10</v>
      </c>
      <c r="D8" s="8" t="s">
        <v>13</v>
      </c>
      <c r="E8" s="8" t="s">
        <v>17</v>
      </c>
      <c r="F8" s="9">
        <v>54</v>
      </c>
      <c r="G8" s="9">
        <f t="shared" si="0"/>
        <v>54</v>
      </c>
      <c r="H8" s="10">
        <v>1.77</v>
      </c>
      <c r="I8" s="10">
        <f t="shared" si="1"/>
        <v>1.77</v>
      </c>
      <c r="J8" s="11">
        <f t="shared" si="2"/>
        <v>95.58</v>
      </c>
    </row>
    <row r="9" spans="1:10" ht="19" x14ac:dyDescent="0.25">
      <c r="A9" s="7">
        <v>43849</v>
      </c>
      <c r="B9" s="8" t="s">
        <v>8</v>
      </c>
      <c r="C9" s="8" t="s">
        <v>10</v>
      </c>
      <c r="D9" s="8" t="s">
        <v>14</v>
      </c>
      <c r="E9" s="8" t="s">
        <v>18</v>
      </c>
      <c r="F9" s="9">
        <v>149</v>
      </c>
      <c r="G9" s="9">
        <f t="shared" si="0"/>
        <v>149</v>
      </c>
      <c r="H9" s="10">
        <v>3.49</v>
      </c>
      <c r="I9" s="10">
        <f t="shared" si="1"/>
        <v>3.49</v>
      </c>
      <c r="J9" s="11">
        <f t="shared" si="2"/>
        <v>520.01</v>
      </c>
    </row>
    <row r="10" spans="1:10" ht="19" x14ac:dyDescent="0.25">
      <c r="A10" s="7">
        <v>43852</v>
      </c>
      <c r="B10" s="8" t="s">
        <v>9</v>
      </c>
      <c r="C10" s="8" t="s">
        <v>11</v>
      </c>
      <c r="D10" s="8" t="s">
        <v>13</v>
      </c>
      <c r="E10" s="8" t="s">
        <v>17</v>
      </c>
      <c r="F10" s="9">
        <v>51</v>
      </c>
      <c r="G10" s="9">
        <f t="shared" si="0"/>
        <v>51</v>
      </c>
      <c r="H10" s="10">
        <v>1.77</v>
      </c>
      <c r="I10" s="10">
        <f t="shared" si="1"/>
        <v>1.77</v>
      </c>
      <c r="J10" s="11">
        <f t="shared" si="2"/>
        <v>90.27</v>
      </c>
    </row>
    <row r="11" spans="1:10" ht="19" x14ac:dyDescent="0.25">
      <c r="A11" s="7">
        <v>43855</v>
      </c>
      <c r="B11" s="8" t="s">
        <v>8</v>
      </c>
      <c r="C11" s="8" t="s">
        <v>12</v>
      </c>
      <c r="D11" s="8" t="s">
        <v>13</v>
      </c>
      <c r="E11" s="8" t="s">
        <v>17</v>
      </c>
      <c r="F11" s="9">
        <v>100</v>
      </c>
      <c r="G11" s="9">
        <f t="shared" si="0"/>
        <v>100</v>
      </c>
      <c r="H11" s="10">
        <v>1.77</v>
      </c>
      <c r="I11" s="10">
        <f t="shared" si="1"/>
        <v>1.77</v>
      </c>
      <c r="J11" s="11">
        <f t="shared" si="2"/>
        <v>177</v>
      </c>
    </row>
    <row r="12" spans="1:10" ht="19" x14ac:dyDescent="0.25">
      <c r="A12" s="7">
        <v>43858</v>
      </c>
      <c r="B12" s="8" t="s">
        <v>8</v>
      </c>
      <c r="C12" s="8" t="s">
        <v>12</v>
      </c>
      <c r="D12" s="8" t="s">
        <v>16</v>
      </c>
      <c r="E12" s="8" t="s">
        <v>21</v>
      </c>
      <c r="F12" s="9">
        <v>28</v>
      </c>
      <c r="G12" s="9">
        <f t="shared" si="0"/>
        <v>28</v>
      </c>
      <c r="H12" s="10">
        <v>1.35</v>
      </c>
      <c r="I12" s="10">
        <f t="shared" si="1"/>
        <v>1.35</v>
      </c>
      <c r="J12" s="11">
        <f t="shared" si="2"/>
        <v>37.800000000000004</v>
      </c>
    </row>
    <row r="13" spans="1:10" ht="19" x14ac:dyDescent="0.25">
      <c r="A13" s="7">
        <v>43861</v>
      </c>
      <c r="B13" s="8" t="s">
        <v>8</v>
      </c>
      <c r="C13" s="8" t="s">
        <v>10</v>
      </c>
      <c r="D13" s="8" t="s">
        <v>15</v>
      </c>
      <c r="E13" s="8" t="s">
        <v>20</v>
      </c>
      <c r="F13" s="9">
        <v>36</v>
      </c>
      <c r="G13" s="9">
        <f t="shared" si="0"/>
        <v>36</v>
      </c>
      <c r="H13" s="10">
        <v>2.1800000000000002</v>
      </c>
      <c r="I13" s="10">
        <f t="shared" si="1"/>
        <v>2.1800000000000002</v>
      </c>
      <c r="J13" s="11">
        <f t="shared" si="2"/>
        <v>78.48</v>
      </c>
    </row>
    <row r="14" spans="1:10" ht="19" x14ac:dyDescent="0.25">
      <c r="A14" s="7">
        <v>43864</v>
      </c>
      <c r="B14" s="8" t="s">
        <v>8</v>
      </c>
      <c r="C14" s="8" t="s">
        <v>10</v>
      </c>
      <c r="D14" s="8" t="s">
        <v>15</v>
      </c>
      <c r="E14" s="8" t="s">
        <v>19</v>
      </c>
      <c r="F14" s="9">
        <v>31</v>
      </c>
      <c r="G14" s="9">
        <f t="shared" si="0"/>
        <v>31</v>
      </c>
      <c r="H14" s="10">
        <v>1.87</v>
      </c>
      <c r="I14" s="10">
        <f t="shared" si="1"/>
        <v>1.87</v>
      </c>
      <c r="J14" s="11">
        <f t="shared" si="2"/>
        <v>57.970000000000006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BasicTable</vt:lpstr>
      <vt:lpstr>Q1</vt:lpstr>
      <vt:lpstr>Q2</vt:lpstr>
      <vt:lpstr>Q2 (2)</vt:lpstr>
      <vt:lpstr>Q2 (3)</vt:lpstr>
      <vt:lpstr>Q2 (4)</vt:lpstr>
      <vt:lpstr>Q2 (5)</vt:lpstr>
      <vt:lpstr>Q2 (6)</vt:lpstr>
      <vt:lpstr>Q2 (8)</vt:lpstr>
      <vt:lpstr>Q2 (7)</vt:lpstr>
      <vt:lpstr>Q1 (2)</vt:lpstr>
      <vt:lpstr>Q1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2022-04-28T19:12:35Z</dcterms:created>
  <dcterms:modified xsi:type="dcterms:W3CDTF">2022-04-28T21:12:18Z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de0556-1f76-452e-9e94-03158f226e4e_Enabled">
    <vt:lpwstr>true</vt:lpwstr>
  </property>
  <property fmtid="{D5CDD505-2E9C-101B-9397-08002B2CF9AE}" pid="3" name="MSIP_Label_cdde0556-1f76-452e-9e94-03158f226e4e_SetDate">
    <vt:lpwstr>2022-04-28T19:12:35Z</vt:lpwstr>
  </property>
  <property fmtid="{D5CDD505-2E9C-101B-9397-08002B2CF9AE}" pid="4" name="MSIP_Label_cdde0556-1f76-452e-9e94-03158f226e4e_Method">
    <vt:lpwstr>Standard</vt:lpwstr>
  </property>
  <property fmtid="{D5CDD505-2E9C-101B-9397-08002B2CF9AE}" pid="5" name="MSIP_Label_cdde0556-1f76-452e-9e94-03158f226e4e_Name">
    <vt:lpwstr>Private</vt:lpwstr>
  </property>
  <property fmtid="{D5CDD505-2E9C-101B-9397-08002B2CF9AE}" pid="6" name="MSIP_Label_cdde0556-1f76-452e-9e94-03158f226e4e_SiteId">
    <vt:lpwstr>7015a19d-0dbb-4c31-8709-253cf07f631f</vt:lpwstr>
  </property>
  <property fmtid="{D5CDD505-2E9C-101B-9397-08002B2CF9AE}" pid="7" name="MSIP_Label_cdde0556-1f76-452e-9e94-03158f226e4e_ActionId">
    <vt:lpwstr>58a00c19-3786-4bc5-bf6f-f766082442a7</vt:lpwstr>
  </property>
  <property fmtid="{D5CDD505-2E9C-101B-9397-08002B2CF9AE}" pid="8" name="MSIP_Label_cdde0556-1f76-452e-9e94-03158f226e4e_ContentBits">
    <vt:lpwstr>0</vt:lpwstr>
  </property>
</Properties>
</file>